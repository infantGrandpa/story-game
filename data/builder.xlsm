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6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4BA9C17D-BDAD-4304-94F2-0F61EB9FCAAF}" xr6:coauthVersionLast="47" xr6:coauthVersionMax="47" xr10:uidLastSave="{00000000-0000-0000-0000-000000000000}"/>
  <bookViews>
    <workbookView xWindow="-120" yWindow="-120" windowWidth="38640" windowHeight="21240" activeTab="2" xr2:uid="{B175B780-618B-45DE-B0BA-0FFD223F9040}"/>
  </bookViews>
  <sheets>
    <sheet name="dashboard" sheetId="4" r:id="rId1"/>
    <sheet name="test" sheetId="5" r:id="rId2"/>
    <sheet name="dialog" sheetId="1" r:id="rId3"/>
    <sheet name="characters" sheetId="2" r:id="rId4"/>
    <sheet name="helper" sheetId="3" r:id="rId5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1" l="1"/>
  <c r="F23" i="1" a="1"/>
  <c r="F23" i="1" s="1"/>
  <c r="E22" i="1"/>
  <c r="F22" i="1" a="1"/>
  <c r="F22" i="1" s="1"/>
  <c r="E21" i="1"/>
  <c r="F21" i="1" a="1"/>
  <c r="F21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3" i="1"/>
  <c r="B4" i="3" a="1"/>
  <c r="B4" i="3" s="1"/>
  <c r="B2" i="3" a="1"/>
  <c r="B2" i="3" s="1"/>
  <c r="B5" i="3" a="1"/>
  <c r="B3" i="3" a="1"/>
  <c r="B3" i="3" l="1"/>
  <c r="B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<sst xmlns="http://schemas.openxmlformats.org/spreadsheetml/2006/main" count="80" uniqueCount="74">
  <si>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</si>
  <si>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</si>
  <si>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</si>
  <si>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</si>
  <si>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</si>
  <si>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</si>
  <si>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</si>
  <si>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</si>
  <si>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</si>
  <si>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</si>
  <si>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Person A</t>
  </si>
  <si>
    <t>Male</t>
  </si>
  <si>
    <t>#f8f9fa</t>
  </si>
  <si>
    <t>#000000</t>
  </si>
  <si>
    <t>main</t>
  </si>
  <si>
    <t>Person B</t>
  </si>
  <si>
    <t>Person C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</si>
  <si>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</si>
  <si>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</si>
  <si>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</si>
  <si>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</si>
  <si>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</si>
  <si>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</si>
  <si>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</si>
  <si>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</si>
  <si>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</si>
  <si>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</si>
  <si>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</si>
  <si>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</si>
  <si>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</si>
  <si>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</si>
  <si>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</si>
  <si>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</si>
  <si>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</si>
  <si>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</si>
  <si>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</si>
  <si>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</si>
  <si>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</si>
  <si>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All three go to Person A's office.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</si>
  <si>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</si>
  <si>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</si>
  <si>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</si>
  <si>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</si>
  <si>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</si>
  <si>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</si>
  <si>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</si>
  <si>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</si>
  <si>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Person B and C nod in agreement.</t>
  </si>
  <si>
    <t>Dialog Table End</t>
  </si>
  <si>
    <t>Text Address</t>
  </si>
  <si>
    <t>SpeakerIDAddress</t>
  </si>
  <si>
    <t>They all leave, trying to avoid looking suspicious.</t>
  </si>
  <si>
    <t>They look very suspicious.</t>
  </si>
  <si>
    <t>[1]</t>
  </si>
  <si>
    <t>[2, 20]</t>
  </si>
  <si>
    <t>It's super top secret. I'm important so I get to know it.</t>
  </si>
  <si>
    <t>[3]</t>
  </si>
  <si>
    <t>[4]</t>
  </si>
  <si>
    <t>[5]</t>
  </si>
  <si>
    <t>[6]</t>
  </si>
  <si>
    <t>[7]</t>
  </si>
  <si>
    <t>[8]</t>
  </si>
  <si>
    <t>[9]</t>
  </si>
  <si>
    <t>[10]</t>
  </si>
  <si>
    <t>[11]</t>
  </si>
  <si>
    <t>[12]</t>
  </si>
  <si>
    <t>[13]</t>
  </si>
  <si>
    <t>[14]</t>
  </si>
  <si>
    <t>[15]</t>
  </si>
  <si>
    <t>[16]</t>
  </si>
  <si>
    <t>[17]</t>
  </si>
  <si>
    <t>[18]</t>
  </si>
  <si>
    <t>[19]</t>
  </si>
  <si>
    <t>[0]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</si>
</sst>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95250</xdr:rowOff>
        </xdr:from>
        <xdr:to>
          <xdr:col>6</xdr:col>
          <xdr:colOff>504825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JSON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F23" totalsRowShown="0">
  <autoFilter ref="A2:F23" xr:uid="{72821DEF-5C2C-466C-B5BE-C1ABFA0D92B7}"/>
  <sortState xmlns:xlrd2="http://schemas.microsoft.com/office/spreadsheetml/2017/richdata2" ref="A3:F23">
    <sortCondition ref="A2:A23"/>
  </sortState>
  <tableColumns count="6">
    <tableColumn id="1" xr3:uid="{27636005-0498-456A-BB31-88DEFFFE068A}" name="id"/>
    <tableColumn id="5" xr3:uid="{71F9EF68-6C16-4284-9012-C00C2ACFB88B}" name="speakerID"/>
    <tableColumn id="3" xr3:uid="{2101BCC1-5C89-4EFF-9EE6-D2BC3D0BB6E9}" name="text" dataDxfId="4"/>
    <tableColumn id="6" xr3:uid="{3BFE9689-C54C-4902-98EB-3C781C96AEE0}" name="nextLine" dataDxfId="3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4" xr3:uid="{54FAAB46-4570-4B7B-BCD6-C514937F1375}" name="nextLineText" dataDxfId="2">
      <calculatedColumnFormula array="1">IF(ISBLANK(tbl_dialog[[#This Row],[nextLine]]), "",INDEX(tbl_dialog[], MATCH(tbl_dialog[[#This Row],[nextLine]], tbl_dialog[id], 0), COLUMN(tbl_dialog[text])))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E05D-6290-4BB7-B255-705D9FA8AFB5}">
  <sheetPr codeName="sh_dashboard"/>
  <dimension ref="A1"/>
  <sheetViews>
    <sheetView workbookViewId="0">
      <selection activeCell="E15" sqref="E1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19050</xdr:colOff>
                    <xdr:row>2</xdr:row>
                    <xdr:rowOff>95250</xdr:rowOff>
                  </from>
                  <to>
                    <xdr:col>6</xdr:col>
                    <xdr:colOff>504825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CF04-0AF1-42EC-9E12-1E46BBC92C84}">
  <sheetPr codeName="sh_tes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F23"/>
  <sheetViews>
    <sheetView tabSelected="1" workbookViewId="0">
      <selection activeCell="D18" sqref="D18"/>
    </sheetView>
  </sheetViews>
  <sheetFormatPr defaultRowHeight="15" x14ac:dyDescent="0.25"/>
  <cols>
    <col min="1" max="1" width="6.140625" bestFit="1" customWidth="1"/>
    <col min="2" max="2" width="12.140625" bestFit="1" customWidth="1"/>
    <col min="3" max="3" width="50.7109375" customWidth="1"/>
    <col min="4" max="4" width="11" bestFit="1" customWidth="1"/>
    <col min="5" max="5" width="15.7109375" customWidth="1"/>
    <col min="6" max="6" width="50.7109375" customWidth="1"/>
    <col min="8" max="8" width="64.85546875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0</v>
      </c>
      <c r="F1" t="b">
        <v>0</v>
      </c>
    </row>
    <row r="2" spans="1:6" x14ac:dyDescent="0.25">
      <c r="A2" s="4" t="s">
        <v>0</v>
      </c>
      <c r="B2" s="3" t="s">
        <v>1</v>
      </c>
      <c r="C2" s="3" t="s">
        <v>2</v>
      </c>
      <c r="D2" s="3" t="s">
        <v>3</v>
      </c>
      <c r="E2" s="2" t="s">
        <v>4</v>
      </c>
      <c r="F2" s="2" t="s">
        <v>29</v>
      </c>
    </row>
    <row r="3" spans="1:6" ht="30" x14ac:dyDescent="0.25">
      <c r="A3">
        <v>0</v>
      </c>
      <c r="B3">
        <v>0</v>
      </c>
      <c r="C3" s="1" t="s">
        <v>30</v>
      </c>
      <c r="D3" t="s">
        <v>53</v>
      </c>
      <c r="E3" t="str">
        <f>IF(ISBLANK(tbl_dialog[[#This Row],[speakerID]]), "", INDEX(tbl_characters[], MATCH(tbl_dialog[[#This Row],[speakerID]], tbl_characters[id], 0), 2))</f>
        <v>Person A</v>
      </c>
      <c r="F3" s="1" t="e" cm="1">
        <f t="array" ref="F3">IF(ISBLANK(tbl_dialog[[#This Row],[nextLine]]), "",INDEX(tbl_dialog[], MATCH(tbl_dialog[[#This Row],[nextLine]], tbl_dialog[id], 0), COLUMN(tbl_dialog[text])))</f>
        <v>#N/A</v>
      </c>
    </row>
    <row r="4" spans="1:6" x14ac:dyDescent="0.25">
      <c r="A4">
        <v>1</v>
      </c>
      <c r="B4">
        <v>1</v>
      </c>
      <c r="C4" s="1" t="s">
        <v>31</v>
      </c>
      <c r="D4" t="s">
        <v>54</v>
      </c>
      <c r="E4" t="str">
        <f>IF(ISBLANK(tbl_dialog[[#This Row],[speakerID]]), "", INDEX(tbl_characters[], MATCH(tbl_dialog[[#This Row],[speakerID]], tbl_characters[id], 0), 2))</f>
        <v>Person B</v>
      </c>
      <c r="F4" s="1" t="e" cm="1">
        <f t="array" ref="F4">IF(ISBLANK(tbl_dialog[[#This Row],[nextLine]]), "",INDEX(tbl_dialog[], MATCH(tbl_dialog[[#This Row],[nextLine]], tbl_dialog[id], 0), COLUMN(tbl_dialog[text])))</f>
        <v>#N/A</v>
      </c>
    </row>
    <row r="5" spans="1:6" ht="30" x14ac:dyDescent="0.25">
      <c r="A5">
        <v>2</v>
      </c>
      <c r="B5">
        <v>0</v>
      </c>
      <c r="C5" s="1" t="s">
        <v>32</v>
      </c>
      <c r="D5" t="s">
        <v>56</v>
      </c>
      <c r="E5" t="str">
        <f>IF(ISBLANK(tbl_dialog[[#This Row],[speakerID]]), "", INDEX(tbl_characters[], MATCH(tbl_dialog[[#This Row],[speakerID]], tbl_characters[id], 0), 2))</f>
        <v>Person A</v>
      </c>
      <c r="F5" s="1" t="e" cm="1">
        <f t="array" ref="F5">IF(ISBLANK(tbl_dialog[[#This Row],[nextLine]]), "",INDEX(tbl_dialog[], MATCH(tbl_dialog[[#This Row],[nextLine]], tbl_dialog[id], 0), COLUMN(tbl_dialog[text])))</f>
        <v>#N/A</v>
      </c>
    </row>
    <row r="6" spans="1:6" x14ac:dyDescent="0.25">
      <c r="A6">
        <v>3</v>
      </c>
      <c r="B6">
        <v>2</v>
      </c>
      <c r="C6" s="1" t="s">
        <v>33</v>
      </c>
      <c r="D6" t="s">
        <v>57</v>
      </c>
      <c r="E6" t="str">
        <f>IF(ISBLANK(tbl_dialog[[#This Row],[speakerID]]), "", INDEX(tbl_characters[], MATCH(tbl_dialog[[#This Row],[speakerID]], tbl_characters[id], 0), 2))</f>
        <v>Person C</v>
      </c>
      <c r="F6" s="1" t="e" cm="1">
        <f t="array" ref="F6">IF(ISBLANK(tbl_dialog[[#This Row],[nextLine]]), "",INDEX(tbl_dialog[], MATCH(tbl_dialog[[#This Row],[nextLine]], tbl_dialog[id], 0), COLUMN(tbl_dialog[text])))</f>
        <v>#N/A</v>
      </c>
    </row>
    <row r="7" spans="1:6" x14ac:dyDescent="0.25">
      <c r="A7">
        <v>4</v>
      </c>
      <c r="B7">
        <v>0</v>
      </c>
      <c r="C7" s="1" t="s">
        <v>34</v>
      </c>
      <c r="D7" t="s">
        <v>58</v>
      </c>
      <c r="E7" t="str">
        <f>IF(ISBLANK(tbl_dialog[[#This Row],[speakerID]]), "", INDEX(tbl_characters[], MATCH(tbl_dialog[[#This Row],[speakerID]], tbl_characters[id], 0), 2))</f>
        <v>Person A</v>
      </c>
      <c r="F7" s="1" t="e" cm="1">
        <f t="array" ref="F7">IF(ISBLANK(tbl_dialog[[#This Row],[nextLine]]), "",INDEX(tbl_dialog[], MATCH(tbl_dialog[[#This Row],[nextLine]], tbl_dialog[id], 0), COLUMN(tbl_dialog[text])))</f>
        <v>#N/A</v>
      </c>
    </row>
    <row r="8" spans="1:6" x14ac:dyDescent="0.25">
      <c r="A8">
        <v>5</v>
      </c>
      <c r="B8">
        <v>2</v>
      </c>
      <c r="C8" s="1" t="s">
        <v>35</v>
      </c>
      <c r="D8" t="s">
        <v>59</v>
      </c>
      <c r="E8" t="str">
        <f>IF(ISBLANK(tbl_dialog[[#This Row],[speakerID]]), "", INDEX(tbl_characters[], MATCH(tbl_dialog[[#This Row],[speakerID]], tbl_characters[id], 0), 2))</f>
        <v>Person C</v>
      </c>
      <c r="F8" s="1" t="e" cm="1">
        <f t="array" ref="F8">IF(ISBLANK(tbl_dialog[[#This Row],[nextLine]]), "",INDEX(tbl_dialog[], MATCH(tbl_dialog[[#This Row],[nextLine]], tbl_dialog[id], 0), COLUMN(tbl_dialog[text])))</f>
        <v>#N/A</v>
      </c>
    </row>
    <row r="9" spans="1:6" x14ac:dyDescent="0.25">
      <c r="A9">
        <v>6</v>
      </c>
      <c r="B9">
        <v>1</v>
      </c>
      <c r="C9" s="1" t="s">
        <v>36</v>
      </c>
      <c r="D9" t="s">
        <v>60</v>
      </c>
      <c r="E9" t="str">
        <f>IF(ISBLANK(tbl_dialog[[#This Row],[speakerID]]), "", INDEX(tbl_characters[], MATCH(tbl_dialog[[#This Row],[speakerID]], tbl_characters[id], 0), 2))</f>
        <v>Person B</v>
      </c>
      <c r="F9" s="1" t="e" cm="1">
        <f t="array" ref="F9">IF(ISBLANK(tbl_dialog[[#This Row],[nextLine]]), "",INDEX(tbl_dialog[], MATCH(tbl_dialog[[#This Row],[nextLine]], tbl_dialog[id], 0), COLUMN(tbl_dialog[text])))</f>
        <v>#N/A</v>
      </c>
    </row>
    <row r="10" spans="1:6" x14ac:dyDescent="0.25">
      <c r="A10">
        <v>7</v>
      </c>
      <c r="B10">
        <v>0</v>
      </c>
      <c r="C10" s="1" t="s">
        <v>37</v>
      </c>
      <c r="D10" t="s">
        <v>61</v>
      </c>
      <c r="E10" t="str">
        <f>IF(ISBLANK(tbl_dialog[[#This Row],[speakerID]]), "", INDEX(tbl_characters[], MATCH(tbl_dialog[[#This Row],[speakerID]], tbl_characters[id], 0), 2))</f>
        <v>Person A</v>
      </c>
      <c r="F10" s="1" t="e" cm="1">
        <f t="array" ref="F10">IF(ISBLANK(tbl_dialog[[#This Row],[nextLine]]), "",INDEX(tbl_dialog[], MATCH(tbl_dialog[[#This Row],[nextLine]], tbl_dialog[id], 0), COLUMN(tbl_dialog[text])))</f>
        <v>#N/A</v>
      </c>
    </row>
    <row r="11" spans="1:6" x14ac:dyDescent="0.25">
      <c r="A11">
        <v>8</v>
      </c>
      <c r="B11">
        <v>3</v>
      </c>
      <c r="C11" s="1" t="s">
        <v>38</v>
      </c>
      <c r="D11" t="s">
        <v>62</v>
      </c>
      <c r="E11" t="str">
        <f>IF(ISBLANK(tbl_dialog[[#This Row],[speakerID]]), "", INDEX(tbl_characters[], MATCH(tbl_dialog[[#This Row],[speakerID]], tbl_characters[id], 0), 2))</f>
        <v>Narrator</v>
      </c>
      <c r="F11" s="1" t="e" cm="1">
        <f t="array" ref="F11">IF(ISBLANK(tbl_dialog[[#This Row],[nextLine]]), "",INDEX(tbl_dialog[], MATCH(tbl_dialog[[#This Row],[nextLine]], tbl_dialog[id], 0), COLUMN(tbl_dialog[text])))</f>
        <v>#N/A</v>
      </c>
    </row>
    <row r="12" spans="1:6" ht="45" x14ac:dyDescent="0.25">
      <c r="A12">
        <v>9</v>
      </c>
      <c r="B12">
        <v>0</v>
      </c>
      <c r="C12" s="1" t="s">
        <v>39</v>
      </c>
      <c r="D12" t="s">
        <v>63</v>
      </c>
      <c r="E12" t="str">
        <f>IF(ISBLANK(tbl_dialog[[#This Row],[speakerID]]), "", INDEX(tbl_characters[], MATCH(tbl_dialog[[#This Row],[speakerID]], tbl_characters[id], 0), 2))</f>
        <v>Person A</v>
      </c>
      <c r="F12" s="1" t="e" cm="1">
        <f t="array" ref="F12">IF(ISBLANK(tbl_dialog[[#This Row],[nextLine]]), "",INDEX(tbl_dialog[], MATCH(tbl_dialog[[#This Row],[nextLine]], tbl_dialog[id], 0), COLUMN(tbl_dialog[text])))</f>
        <v>#N/A</v>
      </c>
    </row>
    <row r="13" spans="1:6" ht="45" x14ac:dyDescent="0.25">
      <c r="A13">
        <v>10</v>
      </c>
      <c r="B13">
        <v>2</v>
      </c>
      <c r="C13" s="1" t="s">
        <v>40</v>
      </c>
      <c r="D13" t="s">
        <v>64</v>
      </c>
      <c r="E13" t="str">
        <f>IF(ISBLANK(tbl_dialog[[#This Row],[speakerID]]), "", INDEX(tbl_characters[], MATCH(tbl_dialog[[#This Row],[speakerID]], tbl_characters[id], 0), 2))</f>
        <v>Person C</v>
      </c>
      <c r="F13" s="1" t="e" cm="1">
        <f t="array" ref="F13">IF(ISBLANK(tbl_dialog[[#This Row],[nextLine]]), "",INDEX(tbl_dialog[], MATCH(tbl_dialog[[#This Row],[nextLine]], tbl_dialog[id], 0), COLUMN(tbl_dialog[text])))</f>
        <v>#N/A</v>
      </c>
    </row>
    <row r="14" spans="1:6" ht="30" x14ac:dyDescent="0.25">
      <c r="A14">
        <v>11</v>
      </c>
      <c r="B14">
        <v>1</v>
      </c>
      <c r="C14" s="1" t="s">
        <v>41</v>
      </c>
      <c r="D14" t="s">
        <v>65</v>
      </c>
      <c r="E14" t="str">
        <f>IF(ISBLANK(tbl_dialog[[#This Row],[speakerID]]), "", INDEX(tbl_characters[], MATCH(tbl_dialog[[#This Row],[speakerID]], tbl_characters[id], 0), 2))</f>
        <v>Person B</v>
      </c>
      <c r="F14" s="1" t="e" cm="1">
        <f t="array" ref="F14">IF(ISBLANK(tbl_dialog[[#This Row],[nextLine]]), "",INDEX(tbl_dialog[], MATCH(tbl_dialog[[#This Row],[nextLine]], tbl_dialog[id], 0), COLUMN(tbl_dialog[text])))</f>
        <v>#N/A</v>
      </c>
    </row>
    <row r="15" spans="1:6" ht="30" x14ac:dyDescent="0.25">
      <c r="A15">
        <v>12</v>
      </c>
      <c r="B15">
        <v>2</v>
      </c>
      <c r="C15" s="1" t="s">
        <v>42</v>
      </c>
      <c r="D15" t="s">
        <v>66</v>
      </c>
      <c r="E15" t="str">
        <f>IF(ISBLANK(tbl_dialog[[#This Row],[speakerID]]), "", INDEX(tbl_characters[], MATCH(tbl_dialog[[#This Row],[speakerID]], tbl_characters[id], 0), 2))</f>
        <v>Person C</v>
      </c>
      <c r="F15" s="1" t="e" cm="1">
        <f t="array" ref="F15">IF(ISBLANK(tbl_dialog[[#This Row],[nextLine]]), "",INDEX(tbl_dialog[], MATCH(tbl_dialog[[#This Row],[nextLine]], tbl_dialog[id], 0), COLUMN(tbl_dialog[text])))</f>
        <v>#N/A</v>
      </c>
    </row>
    <row r="16" spans="1:6" ht="30" x14ac:dyDescent="0.25">
      <c r="A16">
        <v>13</v>
      </c>
      <c r="B16">
        <v>0</v>
      </c>
      <c r="C16" s="1" t="s">
        <v>43</v>
      </c>
      <c r="D16" t="s">
        <v>67</v>
      </c>
      <c r="E16" t="str">
        <f>IF(ISBLANK(tbl_dialog[[#This Row],[speakerID]]), "", INDEX(tbl_characters[], MATCH(tbl_dialog[[#This Row],[speakerID]], tbl_characters[id], 0), 2))</f>
        <v>Person A</v>
      </c>
      <c r="F16" s="1" t="e" cm="1">
        <f t="array" ref="F16">IF(ISBLANK(tbl_dialog[[#This Row],[nextLine]]), "",INDEX(tbl_dialog[], MATCH(tbl_dialog[[#This Row],[nextLine]], tbl_dialog[id], 0), COLUMN(tbl_dialog[text])))</f>
        <v>#N/A</v>
      </c>
    </row>
    <row r="17" spans="1:6" ht="30" x14ac:dyDescent="0.25">
      <c r="A17">
        <v>14</v>
      </c>
      <c r="B17">
        <v>1</v>
      </c>
      <c r="C17" s="1" t="s">
        <v>44</v>
      </c>
      <c r="D17" t="s">
        <v>68</v>
      </c>
      <c r="E17" t="str">
        <f>IF(ISBLANK(tbl_dialog[[#This Row],[speakerID]]), "", INDEX(tbl_characters[], MATCH(tbl_dialog[[#This Row],[speakerID]], tbl_characters[id], 0), 2))</f>
        <v>Person B</v>
      </c>
      <c r="F17" s="1" t="e" cm="1">
        <f t="array" ref="F17">IF(ISBLANK(tbl_dialog[[#This Row],[nextLine]]), "",INDEX(tbl_dialog[], MATCH(tbl_dialog[[#This Row],[nextLine]], tbl_dialog[id], 0), COLUMN(tbl_dialog[text])))</f>
        <v>#N/A</v>
      </c>
    </row>
    <row r="18" spans="1:6" ht="30" x14ac:dyDescent="0.25">
      <c r="A18">
        <v>15</v>
      </c>
      <c r="B18">
        <v>2</v>
      </c>
      <c r="C18" s="1" t="s">
        <v>45</v>
      </c>
      <c r="D18" t="s">
        <v>69</v>
      </c>
      <c r="E18" t="str">
        <f>IF(ISBLANK(tbl_dialog[[#This Row],[speakerID]]), "", INDEX(tbl_characters[], MATCH(tbl_dialog[[#This Row],[speakerID]], tbl_characters[id], 0), 2))</f>
        <v>Person C</v>
      </c>
      <c r="F18" s="1" t="e" cm="1">
        <f t="array" ref="F18">IF(ISBLANK(tbl_dialog[[#This Row],[nextLine]]), "",INDEX(tbl_dialog[], MATCH(tbl_dialog[[#This Row],[nextLine]], tbl_dialog[id], 0), COLUMN(tbl_dialog[text])))</f>
        <v>#N/A</v>
      </c>
    </row>
    <row r="19" spans="1:6" ht="30" x14ac:dyDescent="0.25">
      <c r="A19">
        <v>16</v>
      </c>
      <c r="B19">
        <v>0</v>
      </c>
      <c r="C19" s="1" t="s">
        <v>46</v>
      </c>
      <c r="D19" t="s">
        <v>70</v>
      </c>
      <c r="E19" t="str">
        <f>IF(ISBLANK(tbl_dialog[[#This Row],[speakerID]]), "", INDEX(tbl_characters[], MATCH(tbl_dialog[[#This Row],[speakerID]], tbl_characters[id], 0), 2))</f>
        <v>Person A</v>
      </c>
      <c r="F19" s="1" t="e" cm="1">
        <f t="array" ref="F19">IF(ISBLANK(tbl_dialog[[#This Row],[nextLine]]), "",INDEX(tbl_dialog[], MATCH(tbl_dialog[[#This Row],[nextLine]], tbl_dialog[id], 0), COLUMN(tbl_dialog[text])))</f>
        <v>#N/A</v>
      </c>
    </row>
    <row r="20" spans="1:6" x14ac:dyDescent="0.25">
      <c r="A20">
        <v>17</v>
      </c>
      <c r="B20">
        <v>3</v>
      </c>
      <c r="C20" s="1" t="s">
        <v>47</v>
      </c>
      <c r="D20" t="s">
        <v>71</v>
      </c>
      <c r="E20" t="str">
        <f>IF(ISBLANK(tbl_dialog[[#This Row],[speakerID]]), "", INDEX(tbl_characters[], MATCH(tbl_dialog[[#This Row],[speakerID]], tbl_characters[id], 0), 2))</f>
        <v>Narrator</v>
      </c>
      <c r="F20" s="1" t="e" cm="1">
        <f t="array" ref="F20">IF(ISBLANK(tbl_dialog[[#This Row],[nextLine]]), "",INDEX(tbl_dialog[], MATCH(tbl_dialog[[#This Row],[nextLine]], tbl_dialog[id], 0), COLUMN(tbl_dialog[text])))</f>
        <v>#N/A</v>
      </c>
    </row>
    <row r="21" spans="1:6" x14ac:dyDescent="0.25">
      <c r="A21">
        <v>18</v>
      </c>
      <c r="B21">
        <v>3</v>
      </c>
      <c r="C21" s="1" t="s">
        <v>51</v>
      </c>
      <c r="D21" s="1" t="s">
        <v>72</v>
      </c>
      <c r="E21" t="str">
        <f>IF(ISBLANK(tbl_dialog[[#This Row],[speakerID]]), "", INDEX(tbl_characters[], MATCH(tbl_dialog[[#This Row],[speakerID]], tbl_characters[id], 0), 2))</f>
        <v>Narrator</v>
      </c>
      <c r="F21" s="1" t="e" cm="1">
        <f t="array" ref="F21">IF(ISBLANK(tbl_dialog[[#This Row],[nextLine]]), "",INDEX(tbl_dialog[], MATCH(tbl_dialog[[#This Row],[nextLine]], tbl_dialog[id], 0), COLUMN(tbl_dialog[text])))</f>
        <v>#N/A</v>
      </c>
    </row>
    <row r="22" spans="1:6" ht="30" x14ac:dyDescent="0.25">
      <c r="A22">
        <v>19</v>
      </c>
      <c r="B22">
        <v>3</v>
      </c>
      <c r="C22" s="1" t="s">
        <v>52</v>
      </c>
      <c r="D22" s="1" t="s">
        <v>73</v>
      </c>
      <c r="E22" t="str">
        <f>IF(ISBLANK(tbl_dialog[[#This Row],[speakerID]]), "", INDEX(tbl_characters[], MATCH(tbl_dialog[[#This Row],[speakerID]], tbl_characters[id], 0), 2))</f>
        <v>Narrator</v>
      </c>
      <c r="F22" s="1" t="e" cm="1">
        <f t="array" ref="F22">IF(ISBLANK(tbl_dialog[[#This Row],[nextLine]]), "",INDEX(tbl_dialog[], MATCH(tbl_dialog[[#This Row],[nextLine]], tbl_dialog[id], 0), COLUMN(tbl_dialog[text])))</f>
        <v>#N/A</v>
      </c>
    </row>
    <row r="23" spans="1:6" x14ac:dyDescent="0.25">
      <c r="A23">
        <v>20</v>
      </c>
      <c r="B23">
        <v>0</v>
      </c>
      <c r="C23" s="1" t="s">
        <v>55</v>
      </c>
      <c r="D23" s="1" t="s">
        <v>56</v>
      </c>
      <c r="E23" t="str">
        <f>IF(ISBLANK(tbl_dialog[[#This Row],[speakerID]]), "", INDEX(tbl_characters[], MATCH(tbl_dialog[[#This Row],[speakerID]], tbl_characters[id], 0), 2))</f>
        <v>Person A</v>
      </c>
      <c r="F23" s="1" t="e" cm="1">
        <f t="array" ref="F23">IF(ISBLANK(tbl_dialog[[#This Row],[nextLine]]), "",INDEX(tbl_dialog[], MATCH(tbl_dialog[[#This Row],[nextLine]], tbl_dialog[id], 0), COLUMN(tbl_dialog[text])))</f>
        <v>#N/A</v>
      </c>
    </row>
  </sheetData>
  <conditionalFormatting sqref="A1:F1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B3:B23</xm:sqref>
        </x14:dataValidation>
        <x14:dataValidation type="list" allowBlank="1" showInputMessage="1" xr:uid="{3D23C5DD-FE22-4163-9AD3-D5A31A3BB502}">
          <x14:formula1>
            <xm:f>INDIRECT(helper!$B$5)</xm:f>
          </x14:formula1>
          <xm:sqref>D3:D23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workbookViewId="0">
      <selection activeCell="F9" sqref="F9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</row>
    <row r="4" spans="1:6" x14ac:dyDescent="0.25">
      <c r="A4">
        <v>1</v>
      </c>
      <c r="B4" t="s">
        <v>15</v>
      </c>
      <c r="C4" t="s">
        <v>18</v>
      </c>
      <c r="D4" t="s">
        <v>20</v>
      </c>
      <c r="E4" t="s">
        <v>23</v>
      </c>
      <c r="F4" t="s">
        <v>24</v>
      </c>
    </row>
    <row r="5" spans="1:6" x14ac:dyDescent="0.25">
      <c r="A5">
        <v>2</v>
      </c>
      <c r="B5" t="s">
        <v>16</v>
      </c>
      <c r="C5" t="s">
        <v>18</v>
      </c>
      <c r="D5" t="s">
        <v>21</v>
      </c>
      <c r="E5" t="s">
        <v>13</v>
      </c>
      <c r="F5" t="s">
        <v>24</v>
      </c>
    </row>
    <row r="6" spans="1:6" x14ac:dyDescent="0.25">
      <c r="A6">
        <v>3</v>
      </c>
      <c r="B6" t="s">
        <v>17</v>
      </c>
      <c r="C6" t="s">
        <v>19</v>
      </c>
      <c r="D6" t="s">
        <v>22</v>
      </c>
      <c r="E6" t="s">
        <v>23</v>
      </c>
      <c r="F6" t="s">
        <v>25</v>
      </c>
    </row>
  </sheetData>
  <conditionalFormatting sqref="A1:F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5" sqref="B5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26</v>
      </c>
      <c r="B1" t="s">
        <v>27</v>
      </c>
    </row>
    <row r="2" spans="1:2" x14ac:dyDescent="0.25">
      <c r="A2" t="s">
        <v>28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50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48</v>
      </c>
      <c r="B4" cm="1">
        <f t="array" aca="1" ref="B4" ca="1">CELL("row", OFFSET(tbl_dialog[[#Headers],[id]], COUNTA(tbl_dialog[id]), 0))</f>
        <v>23</v>
      </c>
    </row>
    <row r="5" spans="1:2" x14ac:dyDescent="0.25">
      <c r="A5" t="s">
        <v>49</v>
      </c>
      <c r="B5" t="str" cm="1">
        <f t="array" aca="1" ref="B5" ca="1">ADDRESS(CELL("row", tbl_dialog[id]), 1, 1, 1, "dialog") &amp; ":" &amp; ADDRESS(B4, 1)</f>
        <v>dialog!$A$3:$A$23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test</vt:lpstr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2023-03-23T21:13:46Z</dcterms:modified>
</cp:coreProperties>
</file>