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16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tt\Documents\GitHub\story-game\data\"/>
    </mc:Choice>
  </mc:AlternateContent>
  <xr:revisionPtr revIDLastSave="0" documentId="13_ncr:1_{8F1AD303-788A-4351-B816-9985EB319AC2}" xr6:coauthVersionLast="47" xr6:coauthVersionMax="47" xr10:uidLastSave="{00000000-0000-0000-0000-000000000000}"/>
  <bookViews>
    <workbookView xWindow="0" yWindow="0" windowWidth="19200" windowHeight="21000" activeTab="2" xr2:uid="{B175B780-618B-45DE-B0BA-0FFD223F9040}"/>
  </bookViews>
  <sheets>
    <sheet name="dashboard" sheetId="4" r:id="rId1"/>
    <sheet name="test" sheetId="5" r:id="rId2"/>
    <sheet name="dialog" sheetId="1" r:id="rId3"/>
    <sheet name="characters" sheetId="2" r:id="rId4"/>
    <sheet name="helper" sheetId="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1" l="1"/>
  <c r="F30" i="1" a="1"/>
  <c r="F30" i="1" s="1"/>
  <c r="E29" i="1"/>
  <c r="F29" i="1" a="1"/>
  <c r="F29" i="1" s="1"/>
  <c r="E28" i="1"/>
  <c r="F28" i="1" a="1"/>
  <c r="F28" i="1" s="1"/>
  <c r="E27" i="1"/>
  <c r="F27" i="1" a="1"/>
  <c r="F27" i="1" s="1"/>
  <c r="E26" i="1"/>
  <c r="F26" i="1" a="1"/>
  <c r="F26" i="1" s="1"/>
  <c r="E25" i="1"/>
  <c r="F25" i="1" a="1"/>
  <c r="F25" i="1" s="1"/>
  <c r="E24" i="1"/>
  <c r="F24" i="1" a="1"/>
  <c r="F24" i="1" s="1"/>
  <c r="E23" i="1"/>
  <c r="F23" i="1" a="1"/>
  <c r="F23" i="1" s="1"/>
  <c r="E22" i="1"/>
  <c r="F22" i="1" a="1"/>
  <c r="F22" i="1" s="1"/>
  <c r="E21" i="1"/>
  <c r="F21" i="1" a="1"/>
  <c r="F21" i="1" s="1"/>
  <c r="F3" i="1" a="1"/>
  <c r="F3" i="1" s="1"/>
  <c r="F4" i="1" a="1"/>
  <c r="F4" i="1" s="1"/>
  <c r="F5" i="1" a="1"/>
  <c r="F5" i="1" s="1"/>
  <c r="F6" i="1" a="1"/>
  <c r="F6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3" i="1"/>
  <c r="B4" i="3" a="1"/>
  <c r="B4" i="3" s="1"/>
  <c r="B2" i="3" a="1"/>
  <c r="B2" i="3" s="1"/>
  <c r="B3" i="3" a="1"/>
  <c r="B5" i="3" a="1"/>
  <c r="B3" i="3" l="1"/>
  <c r="B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<sst xmlns="http://schemas.openxmlformats.org/spreadsheetml/2006/main" count="97" uniqueCount="89">
  <si>
    <t>id</t>
  </si>
  <si>
    <t>speakerID</t>
  </si>
  <si>
    <t>text</t>
  </si>
  <si>
    <t>nextLine</t>
  </si>
  <si>
    <t>speakerName</t>
  </si>
  <si>
    <t>name</t>
  </si>
  <si>
    <t>gender</t>
  </si>
  <si>
    <t>bodyColor</t>
  </si>
  <si>
    <t>textColor</t>
  </si>
  <si>
    <t>type</t>
  </si>
  <si>
    <t>Person A</t>
  </si>
  <si>
    <t>Male</t>
  </si>
  <si>
    <t>#f8f9fa</t>
  </si>
  <si>
    <t>#000000</t>
  </si>
  <si>
    <t>main</t>
  </si>
  <si>
    <t>Person B</t>
  </si>
  <si>
    <t>Person C</t>
  </si>
  <si>
    <t>Narrator</t>
  </si>
  <si>
    <t>Female</t>
  </si>
  <si>
    <t>Unknown</t>
  </si>
  <si>
    <t>#8446e0</t>
  </si>
  <si>
    <t>#49c239</t>
  </si>
  <si>
    <t>#161616</t>
  </si>
  <si>
    <t>#FFFFFF</t>
  </si>
  <si>
    <t>secondary</t>
  </si>
  <si>
    <t>narrator</t>
  </si>
  <si>
    <t>Variable</t>
  </si>
  <si>
    <t>Value</t>
  </si>
  <si>
    <t>Character Table End</t>
  </si>
  <si>
    <t>nextLineText</t>
  </si>
  <si>
    <t>Hey guys, have you heard about the new project we're working on?</t>
  </si>
  <si>
    <t>No, what's going on?</t>
  </si>
  <si>
    <t>Well, it's top secret. We can't talk about it to anyone outside the team.</t>
  </si>
  <si>
    <t>(whispers) Actually, I have a secret too.</t>
  </si>
  <si>
    <t>What secret?</t>
  </si>
  <si>
    <t>I can't say it out loud here. Can we talk in private?</t>
  </si>
  <si>
    <t>Uh oh, this sounds serious.</t>
  </si>
  <si>
    <t>Yeah, let's go to my office. We can talk there.</t>
  </si>
  <si>
    <t>All three go to Person A's office.</t>
  </si>
  <si>
    <t>Okay, spill the beans. What's going on?</t>
  </si>
  <si>
    <t>(whispers) I found out that our boss is leaving the company next month. It's a secret, so don't tell anyone.</t>
  </si>
  <si>
    <t>Wow, that's big news. How did you find out?</t>
  </si>
  <si>
    <t>I overheard a conversation between our boss and the CEO.</t>
  </si>
  <si>
    <t>We should be careful not to let this leak out. It could cause a lot of problems if people find out too soon.</t>
  </si>
  <si>
    <t>Yeah, let's keep this between us for now.</t>
  </si>
  <si>
    <t>Of course, I wouldn't want to cause any trouble. Thanks for keeping my secret.</t>
  </si>
  <si>
    <t>No problem, we're a team. We have to look out for each other.</t>
  </si>
  <si>
    <t>Person B and C nod in agreement.</t>
  </si>
  <si>
    <t>Dialog Table End</t>
  </si>
  <si>
    <t>Text Address</t>
  </si>
  <si>
    <t>SpeakerIDAddress</t>
  </si>
  <si>
    <t>They all leave, trying to avoid looking suspicious.</t>
  </si>
  <si>
    <t>They look very suspicious.</t>
  </si>
  <si>
    <t>[1]</t>
  </si>
  <si>
    <t>[2, 20]</t>
  </si>
  <si>
    <t>It's super top secret. I'm important so I get to know it.</t>
  </si>
  <si>
    <t>[3]</t>
  </si>
  <si>
    <t>[4]</t>
  </si>
  <si>
    <t>[5]</t>
  </si>
  <si>
    <t>[6]</t>
  </si>
  <si>
    <t>[7]</t>
  </si>
  <si>
    <t>[8]</t>
  </si>
  <si>
    <t>[9]</t>
  </si>
  <si>
    <t>[10]</t>
  </si>
  <si>
    <t>[11]</t>
  </si>
  <si>
    <t>[12]</t>
  </si>
  <si>
    <t>[13]</t>
  </si>
  <si>
    <t>[14]</t>
  </si>
  <si>
    <t>[15]</t>
  </si>
  <si>
    <t>[16]</t>
  </si>
  <si>
    <t>[17]</t>
  </si>
  <si>
    <t>[18]</t>
  </si>
  <si>
    <t>[19]</t>
  </si>
  <si>
    <t>[0]</t>
  </si>
  <si>
    <t>Okay well no need to be all high and mighty about it.</t>
  </si>
  <si>
    <t>Sorry. I really shouldn't have said it like that.</t>
  </si>
  <si>
    <t>I was joking! It is pretty top secret though.</t>
  </si>
  <si>
    <t>[21]</t>
  </si>
  <si>
    <t>[22, 23, 24]</t>
  </si>
  <si>
    <t>Its okay. So you really can't talk about the secret?</t>
  </si>
  <si>
    <t>No I can't. Sorry.</t>
  </si>
  <si>
    <t>delayMS</t>
  </si>
  <si>
    <t>action</t>
  </si>
  <si>
    <t>[{"type": "nextLine"}]</t>
  </si>
  <si>
    <t>Shut up. You're below me.</t>
  </si>
  <si>
    <t>Person B doesn't respond.</t>
  </si>
  <si>
    <t>[25]</t>
  </si>
  <si>
    <t>[27]</t>
  </si>
  <si>
    <t>[26]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</si>
</sst>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0" fontId="2" fillId="3" borderId="2" xfId="2"/>
    <xf numFmtId="0" fontId="1" fillId="2" borderId="1" xfId="1"/>
    <xf numFmtId="0" fontId="3" fillId="3" borderId="1" xfId="3"/>
    <xf numFmtId="0" fontId="0" fillId="0" borderId="0" xfId="0" applyNumberFormat="1" applyAlignment="1">
      <alignment wrapText="1"/>
    </xf>
  </cellXfs>
  <cellStyles count="4">
    <cellStyle name="Calculation" xfId="3" builtinId="22"/>
    <cellStyle name="Input" xfId="1" builtinId="20"/>
    <cellStyle name="Normal" xfId="0" builtinId="0"/>
    <cellStyle name="Output" xfId="2" builtinId="21"/>
  </cellStyles>
  <dxfs count="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95250</xdr:rowOff>
        </xdr:from>
        <xdr:to>
          <xdr:col>6</xdr:col>
          <xdr:colOff>504825</xdr:colOff>
          <xdr:row>7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JSON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21DEF-5C2C-466C-B5BE-C1ABFA0D92B7}" name="tbl_dialog" displayName="tbl_dialog" ref="A2:H30" totalsRowShown="0">
  <autoFilter ref="A2:H30" xr:uid="{72821DEF-5C2C-466C-B5BE-C1ABFA0D92B7}"/>
  <sortState xmlns:xlrd2="http://schemas.microsoft.com/office/spreadsheetml/2017/richdata2" ref="A3:F23">
    <sortCondition ref="A2:A23"/>
  </sortState>
  <tableColumns count="8">
    <tableColumn id="1" xr3:uid="{27636005-0498-456A-BB31-88DEFFFE068A}" name="id"/>
    <tableColumn id="5" xr3:uid="{71F9EF68-6C16-4284-9012-C00C2ACFB88B}" name="speakerID"/>
    <tableColumn id="3" xr3:uid="{2101BCC1-5C89-4EFF-9EE6-D2BC3D0BB6E9}" name="text" dataDxfId="4"/>
    <tableColumn id="6" xr3:uid="{3BFE9689-C54C-4902-98EB-3C781C96AEE0}" name="nextLine" dataDxfId="3"/>
    <tableColumn id="2" xr3:uid="{3C051845-E4F8-466D-AE2B-A079535A4FDC}" name="speakerName">
      <calculatedColumnFormula>IF(ISBLANK(tbl_dialog[[#This Row],[speakerID]]), "", INDEX(tbl_characters[], MATCH(tbl_dialog[[#This Row],[speakerID]], tbl_characters[id], 0), 2))</calculatedColumnFormula>
    </tableColumn>
    <tableColumn id="4" xr3:uid="{54FAAB46-4570-4B7B-BCD6-C514937F1375}" name="nextLineText" dataDxfId="2">
      <calculatedColumnFormula array="1">IF(ISBLANK(tbl_dialog[[#This Row],[nextLine]]), "",INDEX(tbl_dialog[], MATCH(tbl_dialog[[#This Row],[nextLine]], tbl_dialog[id], 0), COLUMN(tbl_dialog[text])))</calculatedColumnFormula>
    </tableColumn>
    <tableColumn id="7" xr3:uid="{6B3C19EF-0F21-418D-A3B1-3BEEC0E899CC}" name="delayMS"/>
    <tableColumn id="8" xr3:uid="{56955C16-D254-4387-830C-283DF4EB0789}" name="action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20CF98-86E8-4AF6-ABA8-500FEDA7D9A5}" name="tbl_characters" displayName="tbl_characters" ref="A2:F6" totalsRowShown="0">
  <autoFilter ref="A2:F6" xr:uid="{D120CF98-86E8-4AF6-ABA8-500FEDA7D9A5}"/>
  <tableColumns count="6">
    <tableColumn id="1" xr3:uid="{3B9E4809-DFAF-4D24-9195-B4D12559012D}" name="id"/>
    <tableColumn id="2" xr3:uid="{731FDC9C-3058-413B-B3E7-67256CD1667E}" name="name"/>
    <tableColumn id="3" xr3:uid="{CC7182B5-D5DC-4074-921E-56CBD6D5C3F3}" name="gender"/>
    <tableColumn id="4" xr3:uid="{E5A8C64A-BDAE-40EE-A633-8C31DE7E503A}" name="bodyColor"/>
    <tableColumn id="5" xr3:uid="{9BCC40F5-F82A-4964-9DAB-E73CD3CAB0BD}" name="textColor"/>
    <tableColumn id="6" xr3:uid="{0F109095-3059-4843-AF1C-A4E37F6C9254}" name="typ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CE05D-6290-4BB7-B255-705D9FA8AFB5}">
  <sheetPr codeName="sh_dashboard"/>
  <dimension ref="A1"/>
  <sheetViews>
    <sheetView workbookViewId="0">
      <selection activeCell="E15" sqref="E15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All">
                <anchor moveWithCells="1" sizeWithCells="1">
                  <from>
                    <xdr:col>2</xdr:col>
                    <xdr:colOff>19050</xdr:colOff>
                    <xdr:row>2</xdr:row>
                    <xdr:rowOff>95250</xdr:rowOff>
                  </from>
                  <to>
                    <xdr:col>6</xdr:col>
                    <xdr:colOff>504825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CF04-0AF1-42EC-9E12-1E46BBC92C84}">
  <sheetPr codeName="sh_test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8B74B-C2C2-4E8C-B372-F11B66486D7B}">
  <sheetPr codeName="sh_dialog"/>
  <dimension ref="A1:H30"/>
  <sheetViews>
    <sheetView tabSelected="1" workbookViewId="0">
      <selection activeCell="G16" sqref="G16"/>
    </sheetView>
  </sheetViews>
  <sheetFormatPr defaultRowHeight="15" x14ac:dyDescent="0.25"/>
  <cols>
    <col min="1" max="1" width="6.140625" bestFit="1" customWidth="1"/>
    <col min="2" max="2" width="12.140625" bestFit="1" customWidth="1"/>
    <col min="3" max="3" width="50.7109375" customWidth="1"/>
    <col min="4" max="4" width="11" bestFit="1" customWidth="1"/>
    <col min="5" max="5" width="15.7109375" customWidth="1"/>
    <col min="6" max="6" width="50.7109375" customWidth="1"/>
    <col min="7" max="7" width="11" bestFit="1" customWidth="1"/>
    <col min="8" max="8" width="64.85546875" bestFit="1" customWidth="1"/>
  </cols>
  <sheetData>
    <row r="1" spans="1:8" x14ac:dyDescent="0.25">
      <c r="A1" t="b">
        <v>1</v>
      </c>
      <c r="B1" t="b">
        <v>1</v>
      </c>
      <c r="C1" t="b">
        <v>1</v>
      </c>
      <c r="D1" t="b">
        <v>1</v>
      </c>
      <c r="E1" t="b">
        <v>0</v>
      </c>
      <c r="F1" t="b">
        <v>0</v>
      </c>
      <c r="G1" t="b">
        <v>1</v>
      </c>
      <c r="H1" t="b">
        <v>1</v>
      </c>
    </row>
    <row r="2" spans="1:8" x14ac:dyDescent="0.25">
      <c r="A2" s="4" t="s">
        <v>0</v>
      </c>
      <c r="B2" s="3" t="s">
        <v>1</v>
      </c>
      <c r="C2" s="3" t="s">
        <v>2</v>
      </c>
      <c r="D2" s="3" t="s">
        <v>3</v>
      </c>
      <c r="E2" s="2" t="s">
        <v>4</v>
      </c>
      <c r="F2" s="2" t="s">
        <v>29</v>
      </c>
      <c r="G2" t="s">
        <v>81</v>
      </c>
      <c r="H2" t="s">
        <v>82</v>
      </c>
    </row>
    <row r="3" spans="1:8" ht="30" x14ac:dyDescent="0.25">
      <c r="A3">
        <v>0</v>
      </c>
      <c r="B3">
        <v>0</v>
      </c>
      <c r="C3" s="1" t="s">
        <v>30</v>
      </c>
      <c r="D3" t="s">
        <v>53</v>
      </c>
      <c r="E3" t="str">
        <f>IF(ISBLANK(tbl_dialog[[#This Row],[speakerID]]), "", INDEX(tbl_characters[], MATCH(tbl_dialog[[#This Row],[speakerID]], tbl_characters[id], 0), 2))</f>
        <v>Person A</v>
      </c>
      <c r="F3" s="1" t="e" cm="1">
        <f t="array" ref="F3">IF(ISBLANK(tbl_dialog[[#This Row],[nextLine]]), "",INDEX(tbl_dialog[], MATCH(tbl_dialog[[#This Row],[nextLine]], tbl_dialog[id], 0), COLUMN(tbl_dialog[text])))</f>
        <v>#N/A</v>
      </c>
      <c r="G3">
        <v>600</v>
      </c>
    </row>
    <row r="4" spans="1:8" x14ac:dyDescent="0.25">
      <c r="A4">
        <v>1</v>
      </c>
      <c r="B4">
        <v>1</v>
      </c>
      <c r="C4" s="1" t="s">
        <v>31</v>
      </c>
      <c r="D4" t="s">
        <v>54</v>
      </c>
      <c r="E4" t="str">
        <f>IF(ISBLANK(tbl_dialog[[#This Row],[speakerID]]), "", INDEX(tbl_characters[], MATCH(tbl_dialog[[#This Row],[speakerID]], tbl_characters[id], 0), 2))</f>
        <v>Person B</v>
      </c>
      <c r="F4" s="1" t="e" cm="1">
        <f t="array" ref="F4">IF(ISBLANK(tbl_dialog[[#This Row],[nextLine]]), "",INDEX(tbl_dialog[], MATCH(tbl_dialog[[#This Row],[nextLine]], tbl_dialog[id], 0), COLUMN(tbl_dialog[text])))</f>
        <v>#N/A</v>
      </c>
      <c r="G4">
        <v>600</v>
      </c>
      <c r="H4" s="1" t="s">
        <v>83</v>
      </c>
    </row>
    <row r="5" spans="1:8" ht="30" x14ac:dyDescent="0.25">
      <c r="A5">
        <v>2</v>
      </c>
      <c r="B5">
        <v>0</v>
      </c>
      <c r="C5" s="1" t="s">
        <v>32</v>
      </c>
      <c r="D5" t="s">
        <v>56</v>
      </c>
      <c r="E5" t="str">
        <f>IF(ISBLANK(tbl_dialog[[#This Row],[speakerID]]), "", INDEX(tbl_characters[], MATCH(tbl_dialog[[#This Row],[speakerID]], tbl_characters[id], 0), 2))</f>
        <v>Person A</v>
      </c>
      <c r="F5" s="1" t="e" cm="1">
        <f t="array" ref="F5">IF(ISBLANK(tbl_dialog[[#This Row],[nextLine]]), "",INDEX(tbl_dialog[], MATCH(tbl_dialog[[#This Row],[nextLine]], tbl_dialog[id], 0), COLUMN(tbl_dialog[text])))</f>
        <v>#N/A</v>
      </c>
      <c r="G5">
        <v>600</v>
      </c>
    </row>
    <row r="6" spans="1:8" x14ac:dyDescent="0.25">
      <c r="A6">
        <v>3</v>
      </c>
      <c r="B6">
        <v>2</v>
      </c>
      <c r="C6" s="1" t="s">
        <v>33</v>
      </c>
      <c r="D6" t="s">
        <v>57</v>
      </c>
      <c r="E6" t="str">
        <f>IF(ISBLANK(tbl_dialog[[#This Row],[speakerID]]), "", INDEX(tbl_characters[], MATCH(tbl_dialog[[#This Row],[speakerID]], tbl_characters[id], 0), 2))</f>
        <v>Person C</v>
      </c>
      <c r="F6" s="1" t="e" cm="1">
        <f t="array" ref="F6">IF(ISBLANK(tbl_dialog[[#This Row],[nextLine]]), "",INDEX(tbl_dialog[], MATCH(tbl_dialog[[#This Row],[nextLine]], tbl_dialog[id], 0), COLUMN(tbl_dialog[text])))</f>
        <v>#N/A</v>
      </c>
      <c r="G6">
        <v>600</v>
      </c>
    </row>
    <row r="7" spans="1:8" x14ac:dyDescent="0.25">
      <c r="A7">
        <v>4</v>
      </c>
      <c r="B7">
        <v>0</v>
      </c>
      <c r="C7" s="1" t="s">
        <v>34</v>
      </c>
      <c r="D7" t="s">
        <v>58</v>
      </c>
      <c r="E7" t="str">
        <f>IF(ISBLANK(tbl_dialog[[#This Row],[speakerID]]), "", INDEX(tbl_characters[], MATCH(tbl_dialog[[#This Row],[speakerID]], tbl_characters[id], 0), 2))</f>
        <v>Person A</v>
      </c>
      <c r="F7" s="1" t="e" cm="1">
        <f t="array" ref="F7">IF(ISBLANK(tbl_dialog[[#This Row],[nextLine]]), "",INDEX(tbl_dialog[], MATCH(tbl_dialog[[#This Row],[nextLine]], tbl_dialog[id], 0), COLUMN(tbl_dialog[text])))</f>
        <v>#N/A</v>
      </c>
      <c r="G7">
        <v>600</v>
      </c>
    </row>
    <row r="8" spans="1:8" x14ac:dyDescent="0.25">
      <c r="A8">
        <v>5</v>
      </c>
      <c r="B8">
        <v>2</v>
      </c>
      <c r="C8" s="1" t="s">
        <v>35</v>
      </c>
      <c r="D8" t="s">
        <v>59</v>
      </c>
      <c r="E8" t="str">
        <f>IF(ISBLANK(tbl_dialog[[#This Row],[speakerID]]), "", INDEX(tbl_characters[], MATCH(tbl_dialog[[#This Row],[speakerID]], tbl_characters[id], 0), 2))</f>
        <v>Person C</v>
      </c>
      <c r="F8" s="1" t="e" cm="1">
        <f t="array" ref="F8">IF(ISBLANK(tbl_dialog[[#This Row],[nextLine]]), "",INDEX(tbl_dialog[], MATCH(tbl_dialog[[#This Row],[nextLine]], tbl_dialog[id], 0), COLUMN(tbl_dialog[text])))</f>
        <v>#N/A</v>
      </c>
      <c r="G8">
        <v>600</v>
      </c>
    </row>
    <row r="9" spans="1:8" x14ac:dyDescent="0.25">
      <c r="A9">
        <v>6</v>
      </c>
      <c r="B9">
        <v>1</v>
      </c>
      <c r="C9" s="1" t="s">
        <v>36</v>
      </c>
      <c r="D9" t="s">
        <v>60</v>
      </c>
      <c r="E9" t="str">
        <f>IF(ISBLANK(tbl_dialog[[#This Row],[speakerID]]), "", INDEX(tbl_characters[], MATCH(tbl_dialog[[#This Row],[speakerID]], tbl_characters[id], 0), 2))</f>
        <v>Person B</v>
      </c>
      <c r="F9" s="1" t="e" cm="1">
        <f t="array" ref="F9">IF(ISBLANK(tbl_dialog[[#This Row],[nextLine]]), "",INDEX(tbl_dialog[], MATCH(tbl_dialog[[#This Row],[nextLine]], tbl_dialog[id], 0), COLUMN(tbl_dialog[text])))</f>
        <v>#N/A</v>
      </c>
      <c r="G9">
        <v>600</v>
      </c>
    </row>
    <row r="10" spans="1:8" x14ac:dyDescent="0.25">
      <c r="A10">
        <v>7</v>
      </c>
      <c r="B10">
        <v>0</v>
      </c>
      <c r="C10" s="1" t="s">
        <v>37</v>
      </c>
      <c r="D10" t="s">
        <v>61</v>
      </c>
      <c r="E10" t="str">
        <f>IF(ISBLANK(tbl_dialog[[#This Row],[speakerID]]), "", INDEX(tbl_characters[], MATCH(tbl_dialog[[#This Row],[speakerID]], tbl_characters[id], 0), 2))</f>
        <v>Person A</v>
      </c>
      <c r="F10" s="1" t="e" cm="1">
        <f t="array" ref="F10">IF(ISBLANK(tbl_dialog[[#This Row],[nextLine]]), "",INDEX(tbl_dialog[], MATCH(tbl_dialog[[#This Row],[nextLine]], tbl_dialog[id], 0), COLUMN(tbl_dialog[text])))</f>
        <v>#N/A</v>
      </c>
      <c r="G10">
        <v>600</v>
      </c>
    </row>
    <row r="11" spans="1:8" x14ac:dyDescent="0.25">
      <c r="A11">
        <v>8</v>
      </c>
      <c r="B11">
        <v>3</v>
      </c>
      <c r="C11" s="1" t="s">
        <v>38</v>
      </c>
      <c r="D11" t="s">
        <v>62</v>
      </c>
      <c r="E11" t="str">
        <f>IF(ISBLANK(tbl_dialog[[#This Row],[speakerID]]), "", INDEX(tbl_characters[], MATCH(tbl_dialog[[#This Row],[speakerID]], tbl_characters[id], 0), 2))</f>
        <v>Narrator</v>
      </c>
      <c r="F11" s="1" t="e" cm="1">
        <f t="array" ref="F11">IF(ISBLANK(tbl_dialog[[#This Row],[nextLine]]), "",INDEX(tbl_dialog[], MATCH(tbl_dialog[[#This Row],[nextLine]], tbl_dialog[id], 0), COLUMN(tbl_dialog[text])))</f>
        <v>#N/A</v>
      </c>
      <c r="G11">
        <v>600</v>
      </c>
    </row>
    <row r="12" spans="1:8" ht="45" x14ac:dyDescent="0.25">
      <c r="A12">
        <v>9</v>
      </c>
      <c r="B12">
        <v>0</v>
      </c>
      <c r="C12" s="1" t="s">
        <v>39</v>
      </c>
      <c r="D12" t="s">
        <v>63</v>
      </c>
      <c r="E12" t="str">
        <f>IF(ISBLANK(tbl_dialog[[#This Row],[speakerID]]), "", INDEX(tbl_characters[], MATCH(tbl_dialog[[#This Row],[speakerID]], tbl_characters[id], 0), 2))</f>
        <v>Person A</v>
      </c>
      <c r="F12" s="1" t="e" cm="1">
        <f t="array" ref="F12">IF(ISBLANK(tbl_dialog[[#This Row],[nextLine]]), "",INDEX(tbl_dialog[], MATCH(tbl_dialog[[#This Row],[nextLine]], tbl_dialog[id], 0), COLUMN(tbl_dialog[text])))</f>
        <v>#N/A</v>
      </c>
      <c r="G12">
        <v>600</v>
      </c>
    </row>
    <row r="13" spans="1:8" ht="45" x14ac:dyDescent="0.25">
      <c r="A13">
        <v>10</v>
      </c>
      <c r="B13">
        <v>2</v>
      </c>
      <c r="C13" s="1" t="s">
        <v>40</v>
      </c>
      <c r="D13" t="s">
        <v>64</v>
      </c>
      <c r="E13" t="str">
        <f>IF(ISBLANK(tbl_dialog[[#This Row],[speakerID]]), "", INDEX(tbl_characters[], MATCH(tbl_dialog[[#This Row],[speakerID]], tbl_characters[id], 0), 2))</f>
        <v>Person C</v>
      </c>
      <c r="F13" s="1" t="e" cm="1">
        <f t="array" ref="F13">IF(ISBLANK(tbl_dialog[[#This Row],[nextLine]]), "",INDEX(tbl_dialog[], MATCH(tbl_dialog[[#This Row],[nextLine]], tbl_dialog[id], 0), COLUMN(tbl_dialog[text])))</f>
        <v>#N/A</v>
      </c>
      <c r="G13">
        <v>600</v>
      </c>
    </row>
    <row r="14" spans="1:8" ht="30" x14ac:dyDescent="0.25">
      <c r="A14">
        <v>11</v>
      </c>
      <c r="B14">
        <v>1</v>
      </c>
      <c r="C14" s="1" t="s">
        <v>41</v>
      </c>
      <c r="D14" t="s">
        <v>65</v>
      </c>
      <c r="E14" t="str">
        <f>IF(ISBLANK(tbl_dialog[[#This Row],[speakerID]]), "", INDEX(tbl_characters[], MATCH(tbl_dialog[[#This Row],[speakerID]], tbl_characters[id], 0), 2))</f>
        <v>Person B</v>
      </c>
      <c r="F14" s="1" t="e" cm="1">
        <f t="array" ref="F14">IF(ISBLANK(tbl_dialog[[#This Row],[nextLine]]), "",INDEX(tbl_dialog[], MATCH(tbl_dialog[[#This Row],[nextLine]], tbl_dialog[id], 0), COLUMN(tbl_dialog[text])))</f>
        <v>#N/A</v>
      </c>
      <c r="G14">
        <v>600</v>
      </c>
    </row>
    <row r="15" spans="1:8" ht="30" x14ac:dyDescent="0.25">
      <c r="A15">
        <v>12</v>
      </c>
      <c r="B15">
        <v>2</v>
      </c>
      <c r="C15" s="1" t="s">
        <v>42</v>
      </c>
      <c r="D15" t="s">
        <v>66</v>
      </c>
      <c r="E15" t="str">
        <f>IF(ISBLANK(tbl_dialog[[#This Row],[speakerID]]), "", INDEX(tbl_characters[], MATCH(tbl_dialog[[#This Row],[speakerID]], tbl_characters[id], 0), 2))</f>
        <v>Person C</v>
      </c>
      <c r="F15" s="1" t="e" cm="1">
        <f t="array" ref="F15">IF(ISBLANK(tbl_dialog[[#This Row],[nextLine]]), "",INDEX(tbl_dialog[], MATCH(tbl_dialog[[#This Row],[nextLine]], tbl_dialog[id], 0), COLUMN(tbl_dialog[text])))</f>
        <v>#N/A</v>
      </c>
      <c r="G15">
        <v>600</v>
      </c>
    </row>
    <row r="16" spans="1:8" ht="30" x14ac:dyDescent="0.25">
      <c r="A16">
        <v>13</v>
      </c>
      <c r="B16">
        <v>0</v>
      </c>
      <c r="C16" s="1" t="s">
        <v>43</v>
      </c>
      <c r="D16" t="s">
        <v>67</v>
      </c>
      <c r="E16" t="str">
        <f>IF(ISBLANK(tbl_dialog[[#This Row],[speakerID]]), "", INDEX(tbl_characters[], MATCH(tbl_dialog[[#This Row],[speakerID]], tbl_characters[id], 0), 2))</f>
        <v>Person A</v>
      </c>
      <c r="F16" s="1" t="e" cm="1">
        <f t="array" ref="F16">IF(ISBLANK(tbl_dialog[[#This Row],[nextLine]]), "",INDEX(tbl_dialog[], MATCH(tbl_dialog[[#This Row],[nextLine]], tbl_dialog[id], 0), COLUMN(tbl_dialog[text])))</f>
        <v>#N/A</v>
      </c>
      <c r="G16">
        <v>600</v>
      </c>
    </row>
    <row r="17" spans="1:7" ht="30" x14ac:dyDescent="0.25">
      <c r="A17">
        <v>14</v>
      </c>
      <c r="B17">
        <v>1</v>
      </c>
      <c r="C17" s="1" t="s">
        <v>44</v>
      </c>
      <c r="D17" t="s">
        <v>68</v>
      </c>
      <c r="E17" t="str">
        <f>IF(ISBLANK(tbl_dialog[[#This Row],[speakerID]]), "", INDEX(tbl_characters[], MATCH(tbl_dialog[[#This Row],[speakerID]], tbl_characters[id], 0), 2))</f>
        <v>Person B</v>
      </c>
      <c r="F17" s="1" t="e" cm="1">
        <f t="array" ref="F17">IF(ISBLANK(tbl_dialog[[#This Row],[nextLine]]), "",INDEX(tbl_dialog[], MATCH(tbl_dialog[[#This Row],[nextLine]], tbl_dialog[id], 0), COLUMN(tbl_dialog[text])))</f>
        <v>#N/A</v>
      </c>
      <c r="G17">
        <v>600</v>
      </c>
    </row>
    <row r="18" spans="1:7" ht="30" x14ac:dyDescent="0.25">
      <c r="A18">
        <v>15</v>
      </c>
      <c r="B18">
        <v>2</v>
      </c>
      <c r="C18" s="1" t="s">
        <v>45</v>
      </c>
      <c r="D18" t="s">
        <v>69</v>
      </c>
      <c r="E18" t="str">
        <f>IF(ISBLANK(tbl_dialog[[#This Row],[speakerID]]), "", INDEX(tbl_characters[], MATCH(tbl_dialog[[#This Row],[speakerID]], tbl_characters[id], 0), 2))</f>
        <v>Person C</v>
      </c>
      <c r="F18" s="1" t="e" cm="1">
        <f t="array" ref="F18">IF(ISBLANK(tbl_dialog[[#This Row],[nextLine]]), "",INDEX(tbl_dialog[], MATCH(tbl_dialog[[#This Row],[nextLine]], tbl_dialog[id], 0), COLUMN(tbl_dialog[text])))</f>
        <v>#N/A</v>
      </c>
      <c r="G18">
        <v>600</v>
      </c>
    </row>
    <row r="19" spans="1:7" ht="30" x14ac:dyDescent="0.25">
      <c r="A19">
        <v>16</v>
      </c>
      <c r="B19">
        <v>0</v>
      </c>
      <c r="C19" s="1" t="s">
        <v>46</v>
      </c>
      <c r="D19" t="s">
        <v>70</v>
      </c>
      <c r="E19" t="str">
        <f>IF(ISBLANK(tbl_dialog[[#This Row],[speakerID]]), "", INDEX(tbl_characters[], MATCH(tbl_dialog[[#This Row],[speakerID]], tbl_characters[id], 0), 2))</f>
        <v>Person A</v>
      </c>
      <c r="F19" s="1" t="e" cm="1">
        <f t="array" ref="F19">IF(ISBLANK(tbl_dialog[[#This Row],[nextLine]]), "",INDEX(tbl_dialog[], MATCH(tbl_dialog[[#This Row],[nextLine]], tbl_dialog[id], 0), COLUMN(tbl_dialog[text])))</f>
        <v>#N/A</v>
      </c>
      <c r="G19">
        <v>600</v>
      </c>
    </row>
    <row r="20" spans="1:7" x14ac:dyDescent="0.25">
      <c r="A20">
        <v>17</v>
      </c>
      <c r="B20">
        <v>3</v>
      </c>
      <c r="C20" s="1" t="s">
        <v>47</v>
      </c>
      <c r="D20" t="s">
        <v>71</v>
      </c>
      <c r="E20" t="str">
        <f>IF(ISBLANK(tbl_dialog[[#This Row],[speakerID]]), "", INDEX(tbl_characters[], MATCH(tbl_dialog[[#This Row],[speakerID]], tbl_characters[id], 0), 2))</f>
        <v>Narrator</v>
      </c>
      <c r="F20" s="1" t="e" cm="1">
        <f t="array" ref="F20">IF(ISBLANK(tbl_dialog[[#This Row],[nextLine]]), "",INDEX(tbl_dialog[], MATCH(tbl_dialog[[#This Row],[nextLine]], tbl_dialog[id], 0), COLUMN(tbl_dialog[text])))</f>
        <v>#N/A</v>
      </c>
      <c r="G20">
        <v>600</v>
      </c>
    </row>
    <row r="21" spans="1:7" x14ac:dyDescent="0.25">
      <c r="A21">
        <v>18</v>
      </c>
      <c r="B21">
        <v>3</v>
      </c>
      <c r="C21" s="1" t="s">
        <v>51</v>
      </c>
      <c r="D21" s="1" t="s">
        <v>72</v>
      </c>
      <c r="E21" t="str">
        <f>IF(ISBLANK(tbl_dialog[[#This Row],[speakerID]]), "", INDEX(tbl_characters[], MATCH(tbl_dialog[[#This Row],[speakerID]], tbl_characters[id], 0), 2))</f>
        <v>Narrator</v>
      </c>
      <c r="F21" s="1" t="e" cm="1">
        <f t="array" ref="F21">IF(ISBLANK(tbl_dialog[[#This Row],[nextLine]]), "",INDEX(tbl_dialog[], MATCH(tbl_dialog[[#This Row],[nextLine]], tbl_dialog[id], 0), COLUMN(tbl_dialog[text])))</f>
        <v>#N/A</v>
      </c>
      <c r="G21">
        <v>600</v>
      </c>
    </row>
    <row r="22" spans="1:7" ht="30" x14ac:dyDescent="0.25">
      <c r="A22">
        <v>19</v>
      </c>
      <c r="B22">
        <v>3</v>
      </c>
      <c r="C22" s="1" t="s">
        <v>52</v>
      </c>
      <c r="D22" s="1" t="s">
        <v>73</v>
      </c>
      <c r="E22" t="str">
        <f>IF(ISBLANK(tbl_dialog[[#This Row],[speakerID]]), "", INDEX(tbl_characters[], MATCH(tbl_dialog[[#This Row],[speakerID]], tbl_characters[id], 0), 2))</f>
        <v>Narrator</v>
      </c>
      <c r="F22" s="1" t="e" cm="1">
        <f t="array" ref="F22">IF(ISBLANK(tbl_dialog[[#This Row],[nextLine]]), "",INDEX(tbl_dialog[], MATCH(tbl_dialog[[#This Row],[nextLine]], tbl_dialog[id], 0), COLUMN(tbl_dialog[text])))</f>
        <v>#N/A</v>
      </c>
      <c r="G22">
        <v>600</v>
      </c>
    </row>
    <row r="23" spans="1:7" x14ac:dyDescent="0.25">
      <c r="A23">
        <v>20</v>
      </c>
      <c r="B23">
        <v>0</v>
      </c>
      <c r="C23" s="1" t="s">
        <v>55</v>
      </c>
      <c r="D23" s="1" t="s">
        <v>77</v>
      </c>
      <c r="E23" t="str">
        <f>IF(ISBLANK(tbl_dialog[[#This Row],[speakerID]]), "", INDEX(tbl_characters[], MATCH(tbl_dialog[[#This Row],[speakerID]], tbl_characters[id], 0), 2))</f>
        <v>Person A</v>
      </c>
      <c r="F23" s="1" t="e" cm="1">
        <f t="array" ref="F23">IF(ISBLANK(tbl_dialog[[#This Row],[nextLine]]), "",INDEX(tbl_dialog[], MATCH(tbl_dialog[[#This Row],[nextLine]], tbl_dialog[id], 0), COLUMN(tbl_dialog[text])))</f>
        <v>#N/A</v>
      </c>
      <c r="G23">
        <v>600</v>
      </c>
    </row>
    <row r="24" spans="1:7" x14ac:dyDescent="0.25">
      <c r="A24">
        <v>21</v>
      </c>
      <c r="B24">
        <v>1</v>
      </c>
      <c r="C24" s="1" t="s">
        <v>74</v>
      </c>
      <c r="D24" s="1" t="s">
        <v>78</v>
      </c>
      <c r="E24" t="str">
        <f>IF(ISBLANK(tbl_dialog[[#This Row],[speakerID]]), "", INDEX(tbl_characters[], MATCH(tbl_dialog[[#This Row],[speakerID]], tbl_characters[id], 0), 2))</f>
        <v>Person B</v>
      </c>
      <c r="F24" s="5" t="e" cm="1">
        <f t="array" ref="F24">IF(ISBLANK(tbl_dialog[[#This Row],[nextLine]]), "",INDEX(tbl_dialog[], MATCH(tbl_dialog[[#This Row],[nextLine]], tbl_dialog[id], 0), COLUMN(tbl_dialog[text])))</f>
        <v>#N/A</v>
      </c>
      <c r="G24">
        <v>600</v>
      </c>
    </row>
    <row r="25" spans="1:7" x14ac:dyDescent="0.25">
      <c r="A25">
        <v>22</v>
      </c>
      <c r="B25">
        <v>0</v>
      </c>
      <c r="C25" s="1" t="s">
        <v>75</v>
      </c>
      <c r="D25" s="1" t="s">
        <v>86</v>
      </c>
      <c r="E25" t="str">
        <f>IF(ISBLANK(tbl_dialog[[#This Row],[speakerID]]), "", INDEX(tbl_characters[], MATCH(tbl_dialog[[#This Row],[speakerID]], tbl_characters[id], 0), 2))</f>
        <v>Person A</v>
      </c>
      <c r="F25" s="5" t="e" cm="1">
        <f t="array" ref="F25">IF(ISBLANK(tbl_dialog[[#This Row],[nextLine]]), "",INDEX(tbl_dialog[], MATCH(tbl_dialog[[#This Row],[nextLine]], tbl_dialog[id], 0), COLUMN(tbl_dialog[text])))</f>
        <v>#N/A</v>
      </c>
      <c r="G25">
        <v>600</v>
      </c>
    </row>
    <row r="26" spans="1:7" x14ac:dyDescent="0.25">
      <c r="A26">
        <v>23</v>
      </c>
      <c r="B26">
        <v>0</v>
      </c>
      <c r="C26" s="1" t="s">
        <v>76</v>
      </c>
      <c r="D26" s="1" t="s">
        <v>86</v>
      </c>
      <c r="E26" t="str">
        <f>IF(ISBLANK(tbl_dialog[[#This Row],[speakerID]]), "", INDEX(tbl_characters[], MATCH(tbl_dialog[[#This Row],[speakerID]], tbl_characters[id], 0), 2))</f>
        <v>Person A</v>
      </c>
      <c r="F26" s="5" t="e" cm="1">
        <f t="array" ref="F26">IF(ISBLANK(tbl_dialog[[#This Row],[nextLine]]), "",INDEX(tbl_dialog[], MATCH(tbl_dialog[[#This Row],[nextLine]], tbl_dialog[id], 0), COLUMN(tbl_dialog[text])))</f>
        <v>#N/A</v>
      </c>
      <c r="G26">
        <v>600</v>
      </c>
    </row>
    <row r="27" spans="1:7" x14ac:dyDescent="0.25">
      <c r="A27">
        <v>24</v>
      </c>
      <c r="B27">
        <v>0</v>
      </c>
      <c r="C27" s="1" t="s">
        <v>84</v>
      </c>
      <c r="D27" s="1" t="s">
        <v>87</v>
      </c>
      <c r="E27" t="str">
        <f>IF(ISBLANK(tbl_dialog[[#This Row],[speakerID]]), "", INDEX(tbl_characters[], MATCH(tbl_dialog[[#This Row],[speakerID]], tbl_characters[id], 0), 2))</f>
        <v>Person A</v>
      </c>
      <c r="F27" s="5" t="e" cm="1">
        <f t="array" ref="F27">IF(ISBLANK(tbl_dialog[[#This Row],[nextLine]]), "",INDEX(tbl_dialog[], MATCH(tbl_dialog[[#This Row],[nextLine]], tbl_dialog[id], 0), COLUMN(tbl_dialog[text])))</f>
        <v>#N/A</v>
      </c>
      <c r="G27">
        <v>600</v>
      </c>
    </row>
    <row r="28" spans="1:7" x14ac:dyDescent="0.25">
      <c r="A28">
        <v>25</v>
      </c>
      <c r="B28">
        <v>1</v>
      </c>
      <c r="C28" s="1" t="s">
        <v>79</v>
      </c>
      <c r="D28" s="1" t="s">
        <v>88</v>
      </c>
      <c r="E28" t="str">
        <f>IF(ISBLANK(tbl_dialog[[#This Row],[speakerID]]), "", INDEX(tbl_characters[], MATCH(tbl_dialog[[#This Row],[speakerID]], tbl_characters[id], 0), 2))</f>
        <v>Person B</v>
      </c>
      <c r="F28" s="5" t="e" cm="1">
        <f t="array" ref="F28">IF(ISBLANK(tbl_dialog[[#This Row],[nextLine]]), "",INDEX(tbl_dialog[], MATCH(tbl_dialog[[#This Row],[nextLine]], tbl_dialog[id], 0), COLUMN(tbl_dialog[text])))</f>
        <v>#N/A</v>
      </c>
      <c r="G28">
        <v>600</v>
      </c>
    </row>
    <row r="29" spans="1:7" x14ac:dyDescent="0.25">
      <c r="A29">
        <v>26</v>
      </c>
      <c r="B29">
        <v>0</v>
      </c>
      <c r="C29" s="1" t="s">
        <v>80</v>
      </c>
      <c r="D29" s="1" t="s">
        <v>56</v>
      </c>
      <c r="E29" t="str">
        <f>IF(ISBLANK(tbl_dialog[[#This Row],[speakerID]]), "", INDEX(tbl_characters[], MATCH(tbl_dialog[[#This Row],[speakerID]], tbl_characters[id], 0), 2))</f>
        <v>Person A</v>
      </c>
      <c r="F29" s="5" t="e" cm="1">
        <f t="array" ref="F29">IF(ISBLANK(tbl_dialog[[#This Row],[nextLine]]), "",INDEX(tbl_dialog[], MATCH(tbl_dialog[[#This Row],[nextLine]], tbl_dialog[id], 0), COLUMN(tbl_dialog[text])))</f>
        <v>#N/A</v>
      </c>
      <c r="G29">
        <v>600</v>
      </c>
    </row>
    <row r="30" spans="1:7" x14ac:dyDescent="0.25">
      <c r="A30">
        <v>27</v>
      </c>
      <c r="B30">
        <v>3</v>
      </c>
      <c r="C30" s="1" t="s">
        <v>85</v>
      </c>
      <c r="D30" s="1" t="s">
        <v>56</v>
      </c>
      <c r="E30" t="str">
        <f>IF(ISBLANK(tbl_dialog[[#This Row],[speakerID]]), "", INDEX(tbl_characters[], MATCH(tbl_dialog[[#This Row],[speakerID]], tbl_characters[id], 0), 2))</f>
        <v>Narrator</v>
      </c>
      <c r="F30" s="5" t="e" cm="1">
        <f t="array" ref="F30">IF(ISBLANK(tbl_dialog[[#This Row],[nextLine]]), "",INDEX(tbl_dialog[], MATCH(tbl_dialog[[#This Row],[nextLine]], tbl_dialog[id], 0), COLUMN(tbl_dialog[text])))</f>
        <v>#N/A</v>
      </c>
      <c r="G30">
        <v>600</v>
      </c>
    </row>
  </sheetData>
  <conditionalFormatting sqref="A1:H1">
    <cfRule type="cellIs" dxfId="6" priority="1" operator="equal">
      <formula>FALSE</formula>
    </cfRule>
    <cfRule type="cellIs" dxfId="5" priority="2" operator="equal">
      <formula>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9498D8-77D6-46E5-BB61-E00D489DB2FD}">
          <x14:formula1>
            <xm:f>INDIRECT(helper!$B$3)</xm:f>
          </x14:formula1>
          <xm:sqref>B3:B30</xm:sqref>
        </x14:dataValidation>
        <x14:dataValidation type="list" allowBlank="1" showInputMessage="1" xr:uid="{3D23C5DD-FE22-4163-9AD3-D5A31A3BB502}">
          <x14:formula1>
            <xm:f>INDIRECT(helper!$B$5)</xm:f>
          </x14:formula1>
          <xm:sqref>D3:D30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599D4-A679-46C4-BB7D-BB24531D1280}">
  <sheetPr codeName="sh_characters"/>
  <dimension ref="A1:F6"/>
  <sheetViews>
    <sheetView workbookViewId="0">
      <selection activeCell="F9" sqref="F9"/>
    </sheetView>
  </sheetViews>
  <sheetFormatPr defaultRowHeight="15" x14ac:dyDescent="0.25"/>
  <cols>
    <col min="1" max="1" width="5.42578125" bestFit="1" customWidth="1"/>
    <col min="2" max="2" width="8.85546875" bestFit="1" customWidth="1"/>
    <col min="3" max="3" width="9.5703125" bestFit="1" customWidth="1"/>
    <col min="4" max="4" width="12.42578125" bestFit="1" customWidth="1"/>
    <col min="5" max="5" width="11.5703125" bestFit="1" customWidth="1"/>
    <col min="6" max="6" width="10" bestFit="1" customWidth="1"/>
  </cols>
  <sheetData>
    <row r="1" spans="1:6" x14ac:dyDescent="0.25">
      <c r="A1" t="b">
        <v>1</v>
      </c>
      <c r="B1" t="b">
        <v>1</v>
      </c>
      <c r="C1" t="b">
        <v>1</v>
      </c>
      <c r="D1" t="b">
        <v>1</v>
      </c>
      <c r="E1" t="b">
        <v>1</v>
      </c>
      <c r="F1" t="b">
        <v>1</v>
      </c>
    </row>
    <row r="2" spans="1:6" x14ac:dyDescent="0.25">
      <c r="A2" t="s">
        <v>0</v>
      </c>
      <c r="B2" t="s">
        <v>5</v>
      </c>
      <c r="C2" t="s">
        <v>6</v>
      </c>
      <c r="D2" t="s">
        <v>7</v>
      </c>
      <c r="E2" t="s">
        <v>8</v>
      </c>
      <c r="F2" t="s">
        <v>9</v>
      </c>
    </row>
    <row r="3" spans="1:6" x14ac:dyDescent="0.25">
      <c r="A3">
        <v>0</v>
      </c>
      <c r="B3" t="s">
        <v>10</v>
      </c>
      <c r="C3" t="s">
        <v>11</v>
      </c>
      <c r="D3" t="s">
        <v>12</v>
      </c>
      <c r="E3" t="s">
        <v>13</v>
      </c>
      <c r="F3" t="s">
        <v>14</v>
      </c>
    </row>
    <row r="4" spans="1:6" x14ac:dyDescent="0.25">
      <c r="A4">
        <v>1</v>
      </c>
      <c r="B4" t="s">
        <v>15</v>
      </c>
      <c r="C4" t="s">
        <v>18</v>
      </c>
      <c r="D4" t="s">
        <v>20</v>
      </c>
      <c r="E4" t="s">
        <v>23</v>
      </c>
      <c r="F4" t="s">
        <v>24</v>
      </c>
    </row>
    <row r="5" spans="1:6" x14ac:dyDescent="0.25">
      <c r="A5">
        <v>2</v>
      </c>
      <c r="B5" t="s">
        <v>16</v>
      </c>
      <c r="C5" t="s">
        <v>18</v>
      </c>
      <c r="D5" t="s">
        <v>21</v>
      </c>
      <c r="E5" t="s">
        <v>13</v>
      </c>
      <c r="F5" t="s">
        <v>24</v>
      </c>
    </row>
    <row r="6" spans="1:6" x14ac:dyDescent="0.25">
      <c r="A6">
        <v>3</v>
      </c>
      <c r="B6" t="s">
        <v>17</v>
      </c>
      <c r="C6" t="s">
        <v>19</v>
      </c>
      <c r="D6" t="s">
        <v>22</v>
      </c>
      <c r="E6" t="s">
        <v>23</v>
      </c>
      <c r="F6" t="s">
        <v>25</v>
      </c>
    </row>
  </sheetData>
  <conditionalFormatting sqref="A1:F1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09D9-2A4C-446F-9741-6374D2F3E27A}">
  <sheetPr codeName="sh_helper"/>
  <dimension ref="A1:B5"/>
  <sheetViews>
    <sheetView workbookViewId="0">
      <selection activeCell="B5" sqref="B5"/>
    </sheetView>
  </sheetViews>
  <sheetFormatPr defaultRowHeight="15" x14ac:dyDescent="0.25"/>
  <cols>
    <col min="1" max="1" width="20.85546875" bestFit="1" customWidth="1"/>
  </cols>
  <sheetData>
    <row r="1" spans="1:2" x14ac:dyDescent="0.25">
      <c r="A1" t="s">
        <v>26</v>
      </c>
      <c r="B1" t="s">
        <v>27</v>
      </c>
    </row>
    <row r="2" spans="1:2" x14ac:dyDescent="0.25">
      <c r="A2" t="s">
        <v>28</v>
      </c>
      <c r="B2" cm="1">
        <f t="array" aca="1" ref="B2" ca="1">CELL("row", OFFSET(tbl_characters[[#Headers],[id]], COUNTA(tbl_characters[id]), 0))</f>
        <v>6</v>
      </c>
    </row>
    <row r="3" spans="1:2" x14ac:dyDescent="0.25">
      <c r="A3" t="s">
        <v>50</v>
      </c>
      <c r="B3" t="str" cm="1">
        <f t="array" aca="1" ref="B3" ca="1">ADDRESS(CELL("row", tbl_characters[id]), 1, 1, 1, "characters") &amp; ":" &amp; ADDRESS(B2, 1)</f>
        <v>characters!$A$3:$A$6</v>
      </c>
    </row>
    <row r="4" spans="1:2" x14ac:dyDescent="0.25">
      <c r="A4" t="s">
        <v>48</v>
      </c>
      <c r="B4" cm="1">
        <f t="array" aca="1" ref="B4" ca="1">CELL("row", OFFSET(tbl_dialog[[#Headers],[id]], COUNTA(tbl_dialog[id]), 0))</f>
        <v>30</v>
      </c>
    </row>
    <row r="5" spans="1:2" x14ac:dyDescent="0.25">
      <c r="A5" t="s">
        <v>49</v>
      </c>
      <c r="B5" t="str" cm="1">
        <f t="array" aca="1" ref="B5" ca="1">ADDRESS(CELL("row", tbl_dialog[id]), 1, 1, 1, "dialog") &amp; ":" &amp; ADDRESS(B4, 1)</f>
        <v>dialog!$A$3:$A$30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test</vt:lpstr>
      <vt:lpstr>dialog</vt:lpstr>
      <vt:lpstr>characters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Abraham</dc:creator>
  <cp:lastModifiedBy>Brett Abraham</cp:lastModifiedBy>
  <dcterms:created xsi:type="dcterms:W3CDTF">2023-03-21T14:09:46Z</dcterms:created>
  <dcterms:modified xsi:type="dcterms:W3CDTF">2023-03-27T15:11:01Z</dcterms:modified>
</cp:coreProperties>
</file>