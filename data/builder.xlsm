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2196DBED-6449-40F0-8F82-FF9A89255599}" xr6:coauthVersionLast="47" xr6:coauthVersionMax="47" xr10:uidLastSave="{00000000-0000-0000-0000-000000000000}"/>
  <bookViews>
    <workbookView xWindow="0" yWindow="0" windowWidth="19200" windowHeight="21000" activeTab="3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30" i="1" a="1"/>
  <c r="F30" i="1" s="1"/>
  <c r="E29" i="1"/>
  <c r="F29" i="1" a="1"/>
  <c r="F29" i="1" s="1"/>
  <c r="E28" i="1"/>
  <c r="F28" i="1" a="1"/>
  <c r="F28" i="1" s="1"/>
  <c r="E27" i="1"/>
  <c r="F27" i="1" a="1"/>
  <c r="F27" i="1" s="1"/>
  <c r="E26" i="1"/>
  <c r="F26" i="1" a="1"/>
  <c r="F26" i="1" s="1"/>
  <c r="E25" i="1"/>
  <c r="F25" i="1" a="1"/>
  <c r="F25" i="1" s="1"/>
  <c r="E24" i="1"/>
  <c r="F24" i="1" a="1"/>
  <c r="F24" i="1" s="1"/>
  <c r="E23" i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3" i="3" a="1"/>
  <c r="B5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<sst xmlns="http://schemas.openxmlformats.org/spreadsheetml/2006/main" count="112" uniqueCount="89">
  <si>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</si>
  <si>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</si>
  <si>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</si>
  <si>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</si>
  <si>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</si>
  <si>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</si>
  <si>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</si>
  <si>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</si>
  <si>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</si>
  <si>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</si>
  <si>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Male</t>
  </si>
  <si>
    <t>#f8f9fa</t>
  </si>
  <si>
    <t>#000000</t>
  </si>
  <si>
    <t>main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</si>
  <si>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</si>
  <si>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</si>
  <si>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</si>
  <si>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</si>
  <si>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</si>
  <si>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</si>
  <si>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</si>
  <si>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</si>
  <si>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</si>
  <si>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</si>
  <si>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</si>
  <si>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</si>
  <si>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</si>
  <si>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</si>
  <si>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</si>
  <si>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</si>
  <si>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</si>
  <si>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</si>
  <si>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</si>
  <si>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</si>
  <si>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</si>
  <si>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</si>
  <si>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</si>
  <si>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</si>
  <si>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</si>
  <si>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</si>
  <si>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</si>
  <si>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</si>
  <si>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</si>
  <si>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</si>
  <si>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</si>
  <si>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</si>
  <si>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</si>
  <si>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</si>
  <si>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</si>
  <si>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</si>
  <si>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</si>
  <si>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</si>
  <si>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</si>
  <si>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</si>
  <si>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</si>
  <si>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</si>
  <si>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</si>
  <si>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</si>
  <si>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</si>
  <si>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</si>
  <si>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</si>
  <si>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</si>
  <si>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</si>
  <si>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</si>
  <si>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</si>
  <si>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</si>
  <si>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</si>
  <si>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</si>
  <si>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</si>
  <si>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[0]</t>
  </si>
  <si>
    <t>Okay well no need to be all high and mighty about it.</t>
  </si>
  <si>
    <t>Sorry. I really shouldn't have said it like that.</t>
  </si>
  <si>
    <t>I was joking! It is pretty top secret though.</t>
  </si>
  <si>
    <t>[21]</t>
  </si>
  <si>
    <t>[22, 23, 24]</t>
  </si>
  <si>
    <t>Its okay. So you really can't talk about the secret?</t>
  </si>
  <si>
    <t>No I can't. Sorry.</t>
  </si>
  <si>
    <t>delayMS</t>
  </si>
  <si>
    <t>action</t>
  </si>
  <si>
    <t>[{"type": "nextLine"}]</t>
  </si>
  <si>
    <t>Shut up. You're below me.</t>
  </si>
  <si>
    <t>[25]</t>
  </si>
  <si>
    <t>[27]</t>
  </si>
  <si>
    <t>[26]</t>
  </si>
  <si>
    <t>All three go to [char: 0]'s office.</t>
  </si>
  <si>
    <t>[char: 1] doesn't respond.</t>
  </si>
  <si>
    <t>Issac</t>
  </si>
  <si>
    <t>Daphne</t>
  </si>
  <si>
    <t>Juliette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</si>
</sst>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H30" totalsRowShown="0">
  <autoFilter ref="A2:H30" xr:uid="{72821DEF-5C2C-466C-B5BE-C1ABFA0D92B7}"/>
  <sortState xmlns:xlrd2="http://schemas.microsoft.com/office/spreadsheetml/2017/richdata2" ref="A3:H30">
    <sortCondition ref="A2:A30"/>
  </sortState>
  <tableColumns count="8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  <tableColumn id="7" xr3:uid="{6B3C19EF-0F21-418D-A3B1-3BEEC0E899CC}" name="delayMS"/>
    <tableColumn id="8" xr3:uid="{56955C16-D254-4387-830C-283DF4EB0789}" name="ac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workbookViewId="0">
      <selection activeCell="I7" sqref="I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H30"/>
  <sheetViews>
    <sheetView workbookViewId="0">
      <selection activeCell="F6" sqref="F6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7" max="7" width="11" bestFit="1" customWidth="1"/>
    <col min="8" max="8" width="64.85546875" bestFit="1" customWidth="1"/>
  </cols>
  <sheetData>
    <row r="1" spans="1:8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  <c r="G1" t="b">
        <v>1</v>
      </c>
      <c r="H1" t="b">
        <v>1</v>
      </c>
    </row>
    <row r="2" spans="1:8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26</v>
      </c>
      <c r="G2" t="s">
        <v>77</v>
      </c>
      <c r="H2" t="s">
        <v>78</v>
      </c>
    </row>
    <row r="3" spans="1:8" ht="30" x14ac:dyDescent="0.25">
      <c r="A3">
        <v>0</v>
      </c>
      <c r="B3">
        <v>0</v>
      </c>
      <c r="C3" s="1" t="s">
        <v>27</v>
      </c>
      <c r="D3" t="s">
        <v>49</v>
      </c>
      <c r="E3" t="str">
        <f>IF(ISBLANK(tbl_dialog[[#This Row],[speakerID]]), "", INDEX(tbl_characters[], MATCH(tbl_dialog[[#This Row],[speakerID]], tbl_characters[id], 0), 2))</f>
        <v>Issac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  <c r="G3">
        <v>600</v>
      </c>
    </row>
    <row r="4" spans="1:8" x14ac:dyDescent="0.25">
      <c r="A4">
        <v>1</v>
      </c>
      <c r="B4">
        <v>1</v>
      </c>
      <c r="C4" s="1" t="s">
        <v>28</v>
      </c>
      <c r="D4" t="s">
        <v>50</v>
      </c>
      <c r="E4" t="str">
        <f>IF(ISBLANK(tbl_dialog[[#This Row],[speakerID]]), "", INDEX(tbl_characters[], MATCH(tbl_dialog[[#This Row],[speakerID]], tbl_characters[id], 0), 2))</f>
        <v>Daphne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  <c r="G4">
        <v>600</v>
      </c>
      <c r="H4" s="1" t="s">
        <v>79</v>
      </c>
    </row>
    <row r="5" spans="1:8" ht="30" x14ac:dyDescent="0.25">
      <c r="A5">
        <v>2</v>
      </c>
      <c r="B5">
        <v>0</v>
      </c>
      <c r="C5" s="1" t="s">
        <v>29</v>
      </c>
      <c r="D5" t="s">
        <v>52</v>
      </c>
      <c r="E5" t="str">
        <f>IF(ISBLANK(tbl_dialog[[#This Row],[speakerID]]), "", INDEX(tbl_characters[], MATCH(tbl_dialog[[#This Row],[speakerID]], tbl_characters[id], 0), 2))</f>
        <v>Issac</v>
      </c>
      <c r="F5" s="1" t="e" cm="1">
        <f t="array" ref="F5">IF(ISBLANK(tbl_dialog[[#This Row],[nextLine]]), "",INDEX(tbl_dialog[], MATCH(tbl_dialog[[#This Row],[nextLine]], tbl_dialog[id], 0), COLUMN(tbl_dialog[text])))</f>
        <v>#N/A</v>
      </c>
      <c r="G5">
        <v>600</v>
      </c>
    </row>
    <row r="6" spans="1:8" x14ac:dyDescent="0.25">
      <c r="A6">
        <v>3</v>
      </c>
      <c r="B6">
        <v>2</v>
      </c>
      <c r="C6" s="1" t="s">
        <v>30</v>
      </c>
      <c r="D6" t="s">
        <v>53</v>
      </c>
      <c r="E6" t="str">
        <f>IF(ISBLANK(tbl_dialog[[#This Row],[speakerID]]), "", INDEX(tbl_characters[], MATCH(tbl_dialog[[#This Row],[speakerID]], tbl_characters[id], 0), 2))</f>
        <v>Juliette</v>
      </c>
      <c r="F6" s="1" t="e" cm="1">
        <f t="array" ref="F6">IF(ISBLANK(tbl_dialog[[#This Row],[nextLine]]), "",INDEX(tbl_dialog[], MATCH(tbl_dialog[[#This Row],[nextLine]], tbl_dialog[id], 0), COLUMN(tbl_dialog[text])))</f>
        <v>#N/A</v>
      </c>
      <c r="G6">
        <v>600</v>
      </c>
      <c r="H6" s="1" t="s">
        <v>79</v>
      </c>
    </row>
    <row r="7" spans="1:8" x14ac:dyDescent="0.25">
      <c r="A7">
        <v>4</v>
      </c>
      <c r="B7">
        <v>0</v>
      </c>
      <c r="C7" s="1" t="s">
        <v>31</v>
      </c>
      <c r="D7" t="s">
        <v>54</v>
      </c>
      <c r="E7" t="str">
        <f>IF(ISBLANK(tbl_dialog[[#This Row],[speakerID]]), "", INDEX(tbl_characters[], MATCH(tbl_dialog[[#This Row],[speakerID]], tbl_characters[id], 0), 2))</f>
        <v>Issac</v>
      </c>
      <c r="F7" s="1" t="e" cm="1">
        <f t="array" ref="F7">IF(ISBLANK(tbl_dialog[[#This Row],[nextLine]]), "",INDEX(tbl_dialog[], MATCH(tbl_dialog[[#This Row],[nextLine]], tbl_dialog[id], 0), COLUMN(tbl_dialog[text])))</f>
        <v>#N/A</v>
      </c>
      <c r="G7">
        <v>600</v>
      </c>
    </row>
    <row r="8" spans="1:8" x14ac:dyDescent="0.25">
      <c r="A8">
        <v>5</v>
      </c>
      <c r="B8">
        <v>2</v>
      </c>
      <c r="C8" s="1" t="s">
        <v>32</v>
      </c>
      <c r="D8" t="s">
        <v>55</v>
      </c>
      <c r="E8" t="str">
        <f>IF(ISBLANK(tbl_dialog[[#This Row],[speakerID]]), "", INDEX(tbl_characters[], MATCH(tbl_dialog[[#This Row],[speakerID]], tbl_characters[id], 0), 2))</f>
        <v>Juliette</v>
      </c>
      <c r="F8" s="1" t="e" cm="1">
        <f t="array" ref="F8">IF(ISBLANK(tbl_dialog[[#This Row],[nextLine]]), "",INDEX(tbl_dialog[], MATCH(tbl_dialog[[#This Row],[nextLine]], tbl_dialog[id], 0), COLUMN(tbl_dialog[text])))</f>
        <v>#N/A</v>
      </c>
      <c r="G8">
        <v>1200</v>
      </c>
      <c r="H8" s="1" t="s">
        <v>79</v>
      </c>
    </row>
    <row r="9" spans="1:8" x14ac:dyDescent="0.25">
      <c r="A9">
        <v>6</v>
      </c>
      <c r="B9">
        <v>1</v>
      </c>
      <c r="C9" s="1" t="s">
        <v>33</v>
      </c>
      <c r="D9" t="s">
        <v>56</v>
      </c>
      <c r="E9" t="str">
        <f>IF(ISBLANK(tbl_dialog[[#This Row],[speakerID]]), "", INDEX(tbl_characters[], MATCH(tbl_dialog[[#This Row],[speakerID]], tbl_characters[id], 0), 2))</f>
        <v>Daphne</v>
      </c>
      <c r="F9" s="1" t="e" cm="1">
        <f t="array" ref="F9">IF(ISBLANK(tbl_dialog[[#This Row],[nextLine]]), "",INDEX(tbl_dialog[], MATCH(tbl_dialog[[#This Row],[nextLine]], tbl_dialog[id], 0), COLUMN(tbl_dialog[text])))</f>
        <v>#N/A</v>
      </c>
      <c r="G9">
        <v>600</v>
      </c>
      <c r="H9" s="1" t="s">
        <v>79</v>
      </c>
    </row>
    <row r="10" spans="1:8" x14ac:dyDescent="0.25">
      <c r="A10">
        <v>7</v>
      </c>
      <c r="B10">
        <v>0</v>
      </c>
      <c r="C10" s="1" t="s">
        <v>34</v>
      </c>
      <c r="D10" t="s">
        <v>57</v>
      </c>
      <c r="E10" t="str">
        <f>IF(ISBLANK(tbl_dialog[[#This Row],[speakerID]]), "", INDEX(tbl_characters[], MATCH(tbl_dialog[[#This Row],[speakerID]], tbl_characters[id], 0), 2))</f>
        <v>Issac</v>
      </c>
      <c r="F10" s="1" t="e" cm="1">
        <f t="array" ref="F10">IF(ISBLANK(tbl_dialog[[#This Row],[nextLine]]), "",INDEX(tbl_dialog[], MATCH(tbl_dialog[[#This Row],[nextLine]], tbl_dialog[id], 0), COLUMN(tbl_dialog[text])))</f>
        <v>#N/A</v>
      </c>
      <c r="G10">
        <v>600</v>
      </c>
    </row>
    <row r="11" spans="1:8" x14ac:dyDescent="0.25">
      <c r="A11">
        <v>8</v>
      </c>
      <c r="B11">
        <v>3</v>
      </c>
      <c r="C11" s="1" t="s">
        <v>84</v>
      </c>
      <c r="D11" t="s">
        <v>58</v>
      </c>
      <c r="E11" t="str">
        <f>IF(ISBLANK(tbl_dialog[[#This Row],[speakerID]]), "", INDEX(tbl_characters[], MATCH(tbl_dialog[[#This Row],[speakerID]], tbl_characters[id], 0), 2))</f>
        <v>Narrator</v>
      </c>
      <c r="F11" s="1" t="e" cm="1">
        <f t="array" ref="F11">IF(ISBLANK(tbl_dialog[[#This Row],[nextLine]]), "",INDEX(tbl_dialog[], MATCH(tbl_dialog[[#This Row],[nextLine]], tbl_dialog[id], 0), COLUMN(tbl_dialog[text])))</f>
        <v>#N/A</v>
      </c>
      <c r="G11">
        <v>600</v>
      </c>
      <c r="H11" s="1" t="s">
        <v>79</v>
      </c>
    </row>
    <row r="12" spans="1:8" x14ac:dyDescent="0.25">
      <c r="A12">
        <v>9</v>
      </c>
      <c r="B12">
        <v>0</v>
      </c>
      <c r="C12" s="1" t="s">
        <v>35</v>
      </c>
      <c r="D12" t="s">
        <v>59</v>
      </c>
      <c r="E12" t="str">
        <f>IF(ISBLANK(tbl_dialog[[#This Row],[speakerID]]), "", INDEX(tbl_characters[], MATCH(tbl_dialog[[#This Row],[speakerID]], tbl_characters[id], 0), 2))</f>
        <v>Issac</v>
      </c>
      <c r="F12" s="1" t="e" cm="1">
        <f t="array" ref="F12">IF(ISBLANK(tbl_dialog[[#This Row],[nextLine]]), "",INDEX(tbl_dialog[], MATCH(tbl_dialog[[#This Row],[nextLine]], tbl_dialog[id], 0), COLUMN(tbl_dialog[text])))</f>
        <v>#N/A</v>
      </c>
      <c r="G12">
        <v>600</v>
      </c>
    </row>
    <row r="13" spans="1:8" ht="45" x14ac:dyDescent="0.25">
      <c r="A13">
        <v>10</v>
      </c>
      <c r="B13">
        <v>2</v>
      </c>
      <c r="C13" s="1" t="s">
        <v>36</v>
      </c>
      <c r="D13" t="s">
        <v>60</v>
      </c>
      <c r="E13" t="str">
        <f>IF(ISBLANK(tbl_dialog[[#This Row],[speakerID]]), "", INDEX(tbl_characters[], MATCH(tbl_dialog[[#This Row],[speakerID]], tbl_characters[id], 0), 2))</f>
        <v>Juliette</v>
      </c>
      <c r="F13" s="1" t="e" cm="1">
        <f t="array" ref="F13">IF(ISBLANK(tbl_dialog[[#This Row],[nextLine]]), "",INDEX(tbl_dialog[], MATCH(tbl_dialog[[#This Row],[nextLine]], tbl_dialog[id], 0), COLUMN(tbl_dialog[text])))</f>
        <v>#N/A</v>
      </c>
      <c r="G13">
        <v>600</v>
      </c>
      <c r="H13" s="1" t="s">
        <v>79</v>
      </c>
    </row>
    <row r="14" spans="1:8" x14ac:dyDescent="0.25">
      <c r="A14">
        <v>11</v>
      </c>
      <c r="B14">
        <v>1</v>
      </c>
      <c r="C14" s="1" t="s">
        <v>37</v>
      </c>
      <c r="D14" t="s">
        <v>61</v>
      </c>
      <c r="E14" t="str">
        <f>IF(ISBLANK(tbl_dialog[[#This Row],[speakerID]]), "", INDEX(tbl_characters[], MATCH(tbl_dialog[[#This Row],[speakerID]], tbl_characters[id], 0), 2))</f>
        <v>Daphne</v>
      </c>
      <c r="F14" s="1" t="e" cm="1">
        <f t="array" ref="F14">IF(ISBLANK(tbl_dialog[[#This Row],[nextLine]]), "",INDEX(tbl_dialog[], MATCH(tbl_dialog[[#This Row],[nextLine]], tbl_dialog[id], 0), COLUMN(tbl_dialog[text])))</f>
        <v>#N/A</v>
      </c>
      <c r="G14">
        <v>600</v>
      </c>
      <c r="H14" s="1" t="s">
        <v>79</v>
      </c>
    </row>
    <row r="15" spans="1:8" ht="30" x14ac:dyDescent="0.25">
      <c r="A15">
        <v>12</v>
      </c>
      <c r="B15">
        <v>2</v>
      </c>
      <c r="C15" s="1" t="s">
        <v>38</v>
      </c>
      <c r="D15" t="s">
        <v>62</v>
      </c>
      <c r="E15" t="str">
        <f>IF(ISBLANK(tbl_dialog[[#This Row],[speakerID]]), "", INDEX(tbl_characters[], MATCH(tbl_dialog[[#This Row],[speakerID]], tbl_characters[id], 0), 2))</f>
        <v>Juliette</v>
      </c>
      <c r="F15" s="1" t="e" cm="1">
        <f t="array" ref="F15">IF(ISBLANK(tbl_dialog[[#This Row],[nextLine]]), "",INDEX(tbl_dialog[], MATCH(tbl_dialog[[#This Row],[nextLine]], tbl_dialog[id], 0), COLUMN(tbl_dialog[text])))</f>
        <v>#N/A</v>
      </c>
      <c r="G15">
        <v>600</v>
      </c>
      <c r="H15" s="1" t="s">
        <v>79</v>
      </c>
    </row>
    <row r="16" spans="1:8" ht="30" x14ac:dyDescent="0.25">
      <c r="A16">
        <v>13</v>
      </c>
      <c r="B16">
        <v>0</v>
      </c>
      <c r="C16" s="1" t="s">
        <v>39</v>
      </c>
      <c r="D16" t="s">
        <v>63</v>
      </c>
      <c r="E16" t="str">
        <f>IF(ISBLANK(tbl_dialog[[#This Row],[speakerID]]), "", INDEX(tbl_characters[], MATCH(tbl_dialog[[#This Row],[speakerID]], tbl_characters[id], 0), 2))</f>
        <v>Issac</v>
      </c>
      <c r="F16" s="1" t="e" cm="1">
        <f t="array" ref="F16">IF(ISBLANK(tbl_dialog[[#This Row],[nextLine]]), "",INDEX(tbl_dialog[], MATCH(tbl_dialog[[#This Row],[nextLine]], tbl_dialog[id], 0), COLUMN(tbl_dialog[text])))</f>
        <v>#N/A</v>
      </c>
      <c r="G16">
        <v>600</v>
      </c>
    </row>
    <row r="17" spans="1:8" x14ac:dyDescent="0.25">
      <c r="A17">
        <v>14</v>
      </c>
      <c r="B17">
        <v>1</v>
      </c>
      <c r="C17" s="1" t="s">
        <v>40</v>
      </c>
      <c r="D17" t="s">
        <v>64</v>
      </c>
      <c r="E17" t="str">
        <f>IF(ISBLANK(tbl_dialog[[#This Row],[speakerID]]), "", INDEX(tbl_characters[], MATCH(tbl_dialog[[#This Row],[speakerID]], tbl_characters[id], 0), 2))</f>
        <v>Daphne</v>
      </c>
      <c r="F17" s="1" t="e" cm="1">
        <f t="array" ref="F17">IF(ISBLANK(tbl_dialog[[#This Row],[nextLine]]), "",INDEX(tbl_dialog[], MATCH(tbl_dialog[[#This Row],[nextLine]], tbl_dialog[id], 0), COLUMN(tbl_dialog[text])))</f>
        <v>#N/A</v>
      </c>
      <c r="G17">
        <v>600</v>
      </c>
      <c r="H17" s="1" t="s">
        <v>79</v>
      </c>
    </row>
    <row r="18" spans="1:8" ht="30" x14ac:dyDescent="0.25">
      <c r="A18">
        <v>15</v>
      </c>
      <c r="B18">
        <v>2</v>
      </c>
      <c r="C18" s="1" t="s">
        <v>41</v>
      </c>
      <c r="D18" t="s">
        <v>65</v>
      </c>
      <c r="E18" t="str">
        <f>IF(ISBLANK(tbl_dialog[[#This Row],[speakerID]]), "", INDEX(tbl_characters[], MATCH(tbl_dialog[[#This Row],[speakerID]], tbl_characters[id], 0), 2))</f>
        <v>Juliette</v>
      </c>
      <c r="F18" s="1" t="e" cm="1">
        <f t="array" ref="F18">IF(ISBLANK(tbl_dialog[[#This Row],[nextLine]]), "",INDEX(tbl_dialog[], MATCH(tbl_dialog[[#This Row],[nextLine]], tbl_dialog[id], 0), COLUMN(tbl_dialog[text])))</f>
        <v>#N/A</v>
      </c>
      <c r="G18">
        <v>600</v>
      </c>
      <c r="H18" s="1" t="s">
        <v>79</v>
      </c>
    </row>
    <row r="19" spans="1:8" ht="30" x14ac:dyDescent="0.25">
      <c r="A19">
        <v>16</v>
      </c>
      <c r="B19">
        <v>0</v>
      </c>
      <c r="C19" s="1" t="s">
        <v>42</v>
      </c>
      <c r="D19" t="s">
        <v>66</v>
      </c>
      <c r="E19" t="str">
        <f>IF(ISBLANK(tbl_dialog[[#This Row],[speakerID]]), "", INDEX(tbl_characters[], MATCH(tbl_dialog[[#This Row],[speakerID]], tbl_characters[id], 0), 2))</f>
        <v>Issac</v>
      </c>
      <c r="F19" s="1" t="e" cm="1">
        <f t="array" ref="F19">IF(ISBLANK(tbl_dialog[[#This Row],[nextLine]]), "",INDEX(tbl_dialog[], MATCH(tbl_dialog[[#This Row],[nextLine]], tbl_dialog[id], 0), COLUMN(tbl_dialog[text])))</f>
        <v>#N/A</v>
      </c>
      <c r="G19">
        <v>600</v>
      </c>
    </row>
    <row r="20" spans="1:8" x14ac:dyDescent="0.25">
      <c r="A20">
        <v>17</v>
      </c>
      <c r="B20">
        <v>3</v>
      </c>
      <c r="C20" s="1" t="s">
        <v>43</v>
      </c>
      <c r="D20" t="s">
        <v>67</v>
      </c>
      <c r="E20" t="str">
        <f>IF(ISBLANK(tbl_dialog[[#This Row],[speakerID]]), "", INDEX(tbl_characters[], MATCH(tbl_dialog[[#This Row],[speakerID]], tbl_characters[id], 0), 2))</f>
        <v>Narrator</v>
      </c>
      <c r="F20" s="1" t="e" cm="1">
        <f t="array" ref="F20">IF(ISBLANK(tbl_dialog[[#This Row],[nextLine]]), "",INDEX(tbl_dialog[], MATCH(tbl_dialog[[#This Row],[nextLine]], tbl_dialog[id], 0), COLUMN(tbl_dialog[text])))</f>
        <v>#N/A</v>
      </c>
      <c r="G20">
        <v>600</v>
      </c>
      <c r="H20" s="1" t="s">
        <v>79</v>
      </c>
    </row>
    <row r="21" spans="1:8" x14ac:dyDescent="0.25">
      <c r="A21">
        <v>18</v>
      </c>
      <c r="B21">
        <v>3</v>
      </c>
      <c r="C21" s="1" t="s">
        <v>47</v>
      </c>
      <c r="D21" s="1" t="s">
        <v>68</v>
      </c>
      <c r="E21" t="str">
        <f>IF(ISBLANK(tbl_dialog[[#This Row],[speakerID]]), "", INDEX(tbl_characters[], MATCH(tbl_dialog[[#This Row],[speakerID]], tbl_characters[id], 0), 2))</f>
        <v>Narrator</v>
      </c>
      <c r="F21" s="1" t="e" cm="1">
        <f t="array" ref="F21">IF(ISBLANK(tbl_dialog[[#This Row],[nextLine]]), "",INDEX(tbl_dialog[], MATCH(tbl_dialog[[#This Row],[nextLine]], tbl_dialog[id], 0), COLUMN(tbl_dialog[text])))</f>
        <v>#N/A</v>
      </c>
      <c r="G21">
        <v>600</v>
      </c>
      <c r="H21" s="1" t="s">
        <v>79</v>
      </c>
    </row>
    <row r="22" spans="1:8" x14ac:dyDescent="0.25">
      <c r="A22">
        <v>19</v>
      </c>
      <c r="B22">
        <v>3</v>
      </c>
      <c r="C22" s="1" t="s">
        <v>48</v>
      </c>
      <c r="D22" s="1" t="s">
        <v>69</v>
      </c>
      <c r="E22" t="str">
        <f>IF(ISBLANK(tbl_dialog[[#This Row],[speakerID]]), "", INDEX(tbl_characters[], MATCH(tbl_dialog[[#This Row],[speakerID]], tbl_characters[id], 0), 2))</f>
        <v>Narrator</v>
      </c>
      <c r="F22" s="1" t="e" cm="1">
        <f t="array" ref="F22">IF(ISBLANK(tbl_dialog[[#This Row],[nextLine]]), "",INDEX(tbl_dialog[], MATCH(tbl_dialog[[#This Row],[nextLine]], tbl_dialog[id], 0), COLUMN(tbl_dialog[text])))</f>
        <v>#N/A</v>
      </c>
      <c r="G22">
        <v>600</v>
      </c>
      <c r="H22" s="1" t="s">
        <v>79</v>
      </c>
    </row>
    <row r="23" spans="1:8" x14ac:dyDescent="0.25">
      <c r="A23">
        <v>20</v>
      </c>
      <c r="B23">
        <v>0</v>
      </c>
      <c r="C23" s="1" t="s">
        <v>51</v>
      </c>
      <c r="D23" s="1" t="s">
        <v>73</v>
      </c>
      <c r="E23" t="str">
        <f>IF(ISBLANK(tbl_dialog[[#This Row],[speakerID]]), "", INDEX(tbl_characters[], MATCH(tbl_dialog[[#This Row],[speakerID]], tbl_characters[id], 0), 2))</f>
        <v>Issac</v>
      </c>
      <c r="F23" s="1" t="e" cm="1">
        <f t="array" ref="F23">IF(ISBLANK(tbl_dialog[[#This Row],[nextLine]]), "",INDEX(tbl_dialog[], MATCH(tbl_dialog[[#This Row],[nextLine]], tbl_dialog[id], 0), COLUMN(tbl_dialog[text])))</f>
        <v>#N/A</v>
      </c>
      <c r="G23">
        <v>600</v>
      </c>
    </row>
    <row r="24" spans="1:8" x14ac:dyDescent="0.25">
      <c r="A24">
        <v>21</v>
      </c>
      <c r="B24">
        <v>1</v>
      </c>
      <c r="C24" s="1" t="s">
        <v>70</v>
      </c>
      <c r="D24" s="1" t="s">
        <v>74</v>
      </c>
      <c r="E24" t="str">
        <f>IF(ISBLANK(tbl_dialog[[#This Row],[speakerID]]), "", INDEX(tbl_characters[], MATCH(tbl_dialog[[#This Row],[speakerID]], tbl_characters[id], 0), 2))</f>
        <v>Daphne</v>
      </c>
      <c r="F24" s="1" t="e" cm="1">
        <f t="array" ref="F24">IF(ISBLANK(tbl_dialog[[#This Row],[nextLine]]), "",INDEX(tbl_dialog[], MATCH(tbl_dialog[[#This Row],[nextLine]], tbl_dialog[id], 0), COLUMN(tbl_dialog[text])))</f>
        <v>#N/A</v>
      </c>
      <c r="G24">
        <v>600</v>
      </c>
      <c r="H24" s="1" t="s">
        <v>79</v>
      </c>
    </row>
    <row r="25" spans="1:8" x14ac:dyDescent="0.25">
      <c r="A25">
        <v>22</v>
      </c>
      <c r="B25">
        <v>0</v>
      </c>
      <c r="C25" s="1" t="s">
        <v>71</v>
      </c>
      <c r="D25" s="1" t="s">
        <v>81</v>
      </c>
      <c r="E25" t="str">
        <f>IF(ISBLANK(tbl_dialog[[#This Row],[speakerID]]), "", INDEX(tbl_characters[], MATCH(tbl_dialog[[#This Row],[speakerID]], tbl_characters[id], 0), 2))</f>
        <v>Issac</v>
      </c>
      <c r="F25" s="1" t="e" cm="1">
        <f t="array" ref="F25">IF(ISBLANK(tbl_dialog[[#This Row],[nextLine]]), "",INDEX(tbl_dialog[], MATCH(tbl_dialog[[#This Row],[nextLine]], tbl_dialog[id], 0), COLUMN(tbl_dialog[text])))</f>
        <v>#N/A</v>
      </c>
      <c r="G25">
        <v>600</v>
      </c>
    </row>
    <row r="26" spans="1:8" x14ac:dyDescent="0.25">
      <c r="A26">
        <v>23</v>
      </c>
      <c r="B26">
        <v>0</v>
      </c>
      <c r="C26" s="1" t="s">
        <v>72</v>
      </c>
      <c r="D26" s="1" t="s">
        <v>81</v>
      </c>
      <c r="E26" t="str">
        <f>IF(ISBLANK(tbl_dialog[[#This Row],[speakerID]]), "", INDEX(tbl_characters[], MATCH(tbl_dialog[[#This Row],[speakerID]], tbl_characters[id], 0), 2))</f>
        <v>Issac</v>
      </c>
      <c r="F26" s="1" t="e" cm="1">
        <f t="array" ref="F26">IF(ISBLANK(tbl_dialog[[#This Row],[nextLine]]), "",INDEX(tbl_dialog[], MATCH(tbl_dialog[[#This Row],[nextLine]], tbl_dialog[id], 0), COLUMN(tbl_dialog[text])))</f>
        <v>#N/A</v>
      </c>
      <c r="G26">
        <v>600</v>
      </c>
    </row>
    <row r="27" spans="1:8" x14ac:dyDescent="0.25">
      <c r="A27">
        <v>24</v>
      </c>
      <c r="B27">
        <v>0</v>
      </c>
      <c r="C27" s="1" t="s">
        <v>80</v>
      </c>
      <c r="D27" s="1" t="s">
        <v>82</v>
      </c>
      <c r="E27" t="str">
        <f>IF(ISBLANK(tbl_dialog[[#This Row],[speakerID]]), "", INDEX(tbl_characters[], MATCH(tbl_dialog[[#This Row],[speakerID]], tbl_characters[id], 0), 2))</f>
        <v>Issac</v>
      </c>
      <c r="F27" s="1" t="e" cm="1">
        <f t="array" ref="F27">IF(ISBLANK(tbl_dialog[[#This Row],[nextLine]]), "",INDEX(tbl_dialog[], MATCH(tbl_dialog[[#This Row],[nextLine]], tbl_dialog[id], 0), COLUMN(tbl_dialog[text])))</f>
        <v>#N/A</v>
      </c>
      <c r="G27">
        <v>600</v>
      </c>
    </row>
    <row r="28" spans="1:8" x14ac:dyDescent="0.25">
      <c r="A28">
        <v>25</v>
      </c>
      <c r="B28">
        <v>1</v>
      </c>
      <c r="C28" s="1" t="s">
        <v>75</v>
      </c>
      <c r="D28" s="1" t="s">
        <v>83</v>
      </c>
      <c r="E28" t="str">
        <f>IF(ISBLANK(tbl_dialog[[#This Row],[speakerID]]), "", INDEX(tbl_characters[], MATCH(tbl_dialog[[#This Row],[speakerID]], tbl_characters[id], 0), 2))</f>
        <v>Daphne</v>
      </c>
      <c r="F28" s="1" t="e" cm="1">
        <f t="array" ref="F28">IF(ISBLANK(tbl_dialog[[#This Row],[nextLine]]), "",INDEX(tbl_dialog[], MATCH(tbl_dialog[[#This Row],[nextLine]], tbl_dialog[id], 0), COLUMN(tbl_dialog[text])))</f>
        <v>#N/A</v>
      </c>
      <c r="G28">
        <v>600</v>
      </c>
      <c r="H28" s="1" t="s">
        <v>79</v>
      </c>
    </row>
    <row r="29" spans="1:8" x14ac:dyDescent="0.25">
      <c r="A29">
        <v>26</v>
      </c>
      <c r="B29">
        <v>0</v>
      </c>
      <c r="C29" s="1" t="s">
        <v>76</v>
      </c>
      <c r="D29" s="1" t="s">
        <v>52</v>
      </c>
      <c r="E29" t="str">
        <f>IF(ISBLANK(tbl_dialog[[#This Row],[speakerID]]), "", INDEX(tbl_characters[], MATCH(tbl_dialog[[#This Row],[speakerID]], tbl_characters[id], 0), 2))</f>
        <v>Issac</v>
      </c>
      <c r="F29" s="1" t="e" cm="1">
        <f t="array" ref="F29">IF(ISBLANK(tbl_dialog[[#This Row],[nextLine]]), "",INDEX(tbl_dialog[], MATCH(tbl_dialog[[#This Row],[nextLine]], tbl_dialog[id], 0), COLUMN(tbl_dialog[text])))</f>
        <v>#N/A</v>
      </c>
      <c r="G29">
        <v>600</v>
      </c>
    </row>
    <row r="30" spans="1:8" x14ac:dyDescent="0.25">
      <c r="A30">
        <v>27</v>
      </c>
      <c r="B30">
        <v>3</v>
      </c>
      <c r="C30" s="1" t="s">
        <v>85</v>
      </c>
      <c r="D30" s="1" t="s">
        <v>52</v>
      </c>
      <c r="E30" t="str">
        <f>IF(ISBLANK(tbl_dialog[[#This Row],[speakerID]]), "", INDEX(tbl_characters[], MATCH(tbl_dialog[[#This Row],[speakerID]], tbl_characters[id], 0), 2))</f>
        <v>Narrator</v>
      </c>
      <c r="F30" s="1" t="e" cm="1">
        <f t="array" ref="F30">IF(ISBLANK(tbl_dialog[[#This Row],[nextLine]]), "",INDEX(tbl_dialog[], MATCH(tbl_dialog[[#This Row],[nextLine]], tbl_dialog[id], 0), COLUMN(tbl_dialog[text])))</f>
        <v>#N/A</v>
      </c>
      <c r="G30">
        <v>600</v>
      </c>
      <c r="H30" s="1" t="s">
        <v>79</v>
      </c>
    </row>
  </sheetData>
  <conditionalFormatting sqref="A1:H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B3:B30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tabSelected="1" workbookViewId="0">
      <selection activeCell="B6" sqref="B6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86</v>
      </c>
      <c r="C3" t="s">
        <v>10</v>
      </c>
      <c r="D3" t="s">
        <v>11</v>
      </c>
      <c r="E3" t="s">
        <v>12</v>
      </c>
      <c r="F3" t="s">
        <v>13</v>
      </c>
    </row>
    <row r="4" spans="1:6" x14ac:dyDescent="0.25">
      <c r="A4">
        <v>1</v>
      </c>
      <c r="B4" t="s">
        <v>87</v>
      </c>
      <c r="C4" t="s">
        <v>15</v>
      </c>
      <c r="D4" t="s">
        <v>17</v>
      </c>
      <c r="E4" t="s">
        <v>20</v>
      </c>
      <c r="F4" t="s">
        <v>21</v>
      </c>
    </row>
    <row r="5" spans="1:6" x14ac:dyDescent="0.25">
      <c r="A5">
        <v>2</v>
      </c>
      <c r="B5" t="s">
        <v>88</v>
      </c>
      <c r="C5" t="s">
        <v>15</v>
      </c>
      <c r="D5" t="s">
        <v>18</v>
      </c>
      <c r="E5" t="s">
        <v>12</v>
      </c>
      <c r="F5" t="s">
        <v>21</v>
      </c>
    </row>
    <row r="6" spans="1:6" x14ac:dyDescent="0.25">
      <c r="A6">
        <v>3</v>
      </c>
      <c r="B6" t="s">
        <v>14</v>
      </c>
      <c r="C6" t="s">
        <v>16</v>
      </c>
      <c r="D6" t="s">
        <v>19</v>
      </c>
      <c r="E6" t="s">
        <v>20</v>
      </c>
      <c r="F6" t="s">
        <v>22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23</v>
      </c>
      <c r="B1" t="s">
        <v>24</v>
      </c>
    </row>
    <row r="2" spans="1:2" x14ac:dyDescent="0.25">
      <c r="A2" t="s">
        <v>25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46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44</v>
      </c>
      <c r="B4" cm="1">
        <f t="array" aca="1" ref="B4" ca="1">CELL("row", OFFSET(tbl_dialog[[#Headers],[id]], COUNTA(tbl_dialog[id]), 0))</f>
        <v>30</v>
      </c>
    </row>
    <row r="5" spans="1:2" x14ac:dyDescent="0.25">
      <c r="A5" t="s">
        <v>45</v>
      </c>
      <c r="B5" t="str" cm="1">
        <f t="array" aca="1" ref="B5" ca="1">ADDRESS(CELL("row", tbl_dialog[id]), 1, 1, 1, "dialog") &amp; ":" &amp; ADDRESS(B4, 1)</f>
        <v>dialog!$A$3:$A$30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2023-03-27T21:22:54Z</dcterms:modified>
</cp:coreProperties>
</file>